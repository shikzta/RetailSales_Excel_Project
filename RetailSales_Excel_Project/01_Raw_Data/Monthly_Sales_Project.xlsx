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Shikz\Documents\RetailSales_Excel_Project\01_Raw_Data\"/>
    </mc:Choice>
  </mc:AlternateContent>
  <bookViews>
    <workbookView xWindow="240" yWindow="15" windowWidth="16095" windowHeight="9660"/>
  </bookViews>
  <sheets>
    <sheet name="Monthly_Sales" sheetId="1" r:id="rId1"/>
    <sheet name="Insights" sheetId="7" r:id="rId2"/>
    <sheet name="Dashboard" sheetId="2" r:id="rId3"/>
    <sheet name="Pivot_backend" sheetId="8" r:id="rId4"/>
  </sheets>
  <definedNames>
    <definedName name="_xlnm.Print_Area" localSheetId="2">Dashboard!$A$4:$O$59</definedName>
    <definedName name="Slicer_Customer">#N/A</definedName>
    <definedName name="Slicer_Months">#N/A</definedName>
    <definedName name="Slicer_Product">#N/A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H8" i="2" l="1"/>
  <c r="H9" i="2"/>
  <c r="H7" i="2"/>
  <c r="H6" i="2"/>
</calcChain>
</file>

<file path=xl/sharedStrings.xml><?xml version="1.0" encoding="utf-8"?>
<sst xmlns="http://schemas.openxmlformats.org/spreadsheetml/2006/main" count="662" uniqueCount="57">
  <si>
    <t>Date</t>
  </si>
  <si>
    <t>Product</t>
  </si>
  <si>
    <t>Region</t>
  </si>
  <si>
    <t>Customer</t>
  </si>
  <si>
    <t>Quantity</t>
  </si>
  <si>
    <t>UnitPrice</t>
  </si>
  <si>
    <t>Revenue</t>
  </si>
  <si>
    <t>Monitor</t>
  </si>
  <si>
    <t>Keyboard</t>
  </si>
  <si>
    <t>Tablet</t>
  </si>
  <si>
    <t>Laptop</t>
  </si>
  <si>
    <t>Headphones</t>
  </si>
  <si>
    <t>Mouse</t>
  </si>
  <si>
    <t>North</t>
  </si>
  <si>
    <t>East</t>
  </si>
  <si>
    <t>West</t>
  </si>
  <si>
    <t>South</t>
  </si>
  <si>
    <t>George</t>
  </si>
  <si>
    <t>Hina</t>
  </si>
  <si>
    <t>David</t>
  </si>
  <si>
    <t>Bob</t>
  </si>
  <si>
    <t>Chris</t>
  </si>
  <si>
    <t>Alice</t>
  </si>
  <si>
    <t>Evan</t>
  </si>
  <si>
    <t>Fatima</t>
  </si>
  <si>
    <t>Grand Total</t>
  </si>
  <si>
    <t>Sum of Revenue</t>
  </si>
  <si>
    <t>Total Revenue</t>
  </si>
  <si>
    <t>Total Orders</t>
  </si>
  <si>
    <t>Average Revenue per Order</t>
  </si>
  <si>
    <t>Top Product by Revenue</t>
  </si>
  <si>
    <t>Top Region by Revenue</t>
  </si>
  <si>
    <t>Jan</t>
  </si>
  <si>
    <t>Feb</t>
  </si>
  <si>
    <t>Mar</t>
  </si>
  <si>
    <t>Customers</t>
  </si>
  <si>
    <t>Months</t>
  </si>
  <si>
    <t>Regions</t>
  </si>
  <si>
    <t>Products</t>
  </si>
  <si>
    <t>Total Items Sold</t>
  </si>
  <si>
    <t>Monthly Sales Performance – Jan–Mar 2025</t>
  </si>
  <si>
    <r>
      <rPr>
        <b/>
        <sz val="11"/>
        <color theme="1"/>
        <rFont val="Calibri"/>
        <family val="2"/>
        <scheme val="minor"/>
      </rPr>
      <t>West</t>
    </r>
    <r>
      <rPr>
        <sz val="11"/>
        <color theme="1"/>
        <rFont val="Calibri"/>
        <family val="2"/>
        <scheme val="minor"/>
      </rPr>
      <t xml:space="preserve"> is the strongest region by generating a total of : </t>
    </r>
    <r>
      <rPr>
        <b/>
        <sz val="11"/>
        <color theme="1"/>
        <rFont val="Calibri"/>
        <family val="2"/>
        <scheme val="minor"/>
      </rPr>
      <t>£51,360</t>
    </r>
    <r>
      <rPr>
        <sz val="11"/>
        <color theme="1"/>
        <rFont val="Calibri"/>
        <family val="2"/>
        <scheme val="minor"/>
      </rPr>
      <t>.</t>
    </r>
  </si>
  <si>
    <r>
      <rPr>
        <b/>
        <sz val="11"/>
        <color theme="1"/>
        <rFont val="Calibri"/>
        <family val="2"/>
        <scheme val="minor"/>
      </rPr>
      <t>Laptops</t>
    </r>
    <r>
      <rPr>
        <sz val="11"/>
        <color theme="1"/>
        <rFont val="Calibri"/>
        <family val="2"/>
        <scheme val="minor"/>
      </rPr>
      <t xml:space="preserve"> generate the most revenue : </t>
    </r>
    <r>
      <rPr>
        <b/>
        <sz val="11"/>
        <color theme="1"/>
        <rFont val="Calibri"/>
        <family val="2"/>
        <scheme val="minor"/>
      </rPr>
      <t>£37,250</t>
    </r>
    <r>
      <rPr>
        <sz val="11"/>
        <color theme="1"/>
        <rFont val="Calibri"/>
        <family val="2"/>
        <scheme val="minor"/>
      </rPr>
      <t xml:space="preserve"> (</t>
    </r>
    <r>
      <rPr>
        <b/>
        <sz val="11"/>
        <color theme="1"/>
        <rFont val="Calibri"/>
        <family val="2"/>
        <scheme val="minor"/>
      </rPr>
      <t>22.9%</t>
    </r>
    <r>
      <rPr>
        <sz val="11"/>
        <color theme="1"/>
        <rFont val="Calibri"/>
        <family val="2"/>
        <scheme val="minor"/>
      </rPr>
      <t xml:space="preserve"> of Total).</t>
    </r>
  </si>
  <si>
    <r>
      <t xml:space="preserve"> Top </t>
    </r>
    <r>
      <rPr>
        <b/>
        <sz val="11"/>
        <color theme="1"/>
        <rFont val="Calibri"/>
        <family val="2"/>
        <scheme val="minor"/>
      </rPr>
      <t>5</t>
    </r>
    <r>
      <rPr>
        <sz val="11"/>
        <color theme="1"/>
        <rFont val="Calibri"/>
        <family val="2"/>
        <scheme val="minor"/>
      </rPr>
      <t xml:space="preserve"> customers are </t>
    </r>
    <r>
      <rPr>
        <b/>
        <sz val="11"/>
        <color theme="1"/>
        <rFont val="Calibri"/>
        <family val="2"/>
        <scheme val="minor"/>
      </rPr>
      <t>David, Chris, Evan, Fatima</t>
    </r>
    <r>
      <rPr>
        <sz val="11"/>
        <color theme="1"/>
        <rFont val="Calibri"/>
        <family val="2"/>
        <scheme val="minor"/>
      </rPr>
      <t xml:space="preserve"> and</t>
    </r>
    <r>
      <rPr>
        <b/>
        <sz val="11"/>
        <color theme="1"/>
        <rFont val="Calibri"/>
        <family val="2"/>
        <scheme val="minor"/>
      </rPr>
      <t xml:space="preserve"> George</t>
    </r>
    <r>
      <rPr>
        <sz val="11"/>
        <color theme="1"/>
        <rFont val="Calibri"/>
        <family val="2"/>
        <scheme val="minor"/>
      </rPr>
      <t xml:space="preserve"> in that order.  The laptop genereates 22.9% of all total revenue.  </t>
    </r>
  </si>
  <si>
    <r>
      <rPr>
        <b/>
        <sz val="11"/>
        <color theme="1"/>
        <rFont val="Calibri"/>
        <family val="2"/>
        <scheme val="minor"/>
      </rPr>
      <t>Headphones</t>
    </r>
    <r>
      <rPr>
        <sz val="11"/>
        <color theme="1"/>
        <rFont val="Calibri"/>
        <family val="2"/>
        <scheme val="minor"/>
      </rPr>
      <t xml:space="preserve"> are the worst-performing product; </t>
    </r>
    <r>
      <rPr>
        <b/>
        <sz val="11"/>
        <color theme="1"/>
        <rFont val="Calibri"/>
        <family val="2"/>
        <scheme val="minor"/>
      </rPr>
      <t>East</t>
    </r>
    <r>
      <rPr>
        <sz val="11"/>
        <color theme="1"/>
        <rFont val="Calibri"/>
        <family val="2"/>
        <scheme val="minor"/>
      </rPr>
      <t xml:space="preserve"> is the </t>
    </r>
    <r>
      <rPr>
        <b/>
        <sz val="11"/>
        <color theme="1"/>
        <rFont val="Calibri"/>
        <family val="2"/>
        <scheme val="minor"/>
      </rPr>
      <t xml:space="preserve">weakest </t>
    </r>
    <r>
      <rPr>
        <sz val="11"/>
        <color theme="1"/>
        <rFont val="Calibri"/>
        <family val="2"/>
        <scheme val="minor"/>
      </rPr>
      <t xml:space="preserve">region.  </t>
    </r>
  </si>
  <si>
    <r>
      <rPr>
        <b/>
        <sz val="11"/>
        <color theme="1"/>
        <rFont val="Calibri"/>
        <family val="2"/>
        <scheme val="minor"/>
      </rPr>
      <t>January</t>
    </r>
    <r>
      <rPr>
        <sz val="11"/>
        <color theme="1"/>
        <rFont val="Calibri"/>
        <family val="2"/>
        <scheme val="minor"/>
      </rPr>
      <t xml:space="preserve"> and </t>
    </r>
    <r>
      <rPr>
        <b/>
        <sz val="11"/>
        <color theme="1"/>
        <rFont val="Calibri"/>
        <family val="2"/>
        <scheme val="minor"/>
      </rPr>
      <t>Feburary</t>
    </r>
    <r>
      <rPr>
        <sz val="11"/>
        <color theme="1"/>
        <rFont val="Calibri"/>
        <family val="2"/>
        <scheme val="minor"/>
      </rPr>
      <t xml:space="preserve"> were </t>
    </r>
    <r>
      <rPr>
        <b/>
        <sz val="11"/>
        <color theme="1"/>
        <rFont val="Calibri"/>
        <family val="2"/>
        <scheme val="minor"/>
      </rPr>
      <t>strong</t>
    </r>
    <r>
      <rPr>
        <sz val="11"/>
        <color theme="1"/>
        <rFont val="Calibri"/>
        <family val="2"/>
        <scheme val="minor"/>
      </rPr>
      <t xml:space="preserve"> months followed by a sharp </t>
    </r>
    <r>
      <rPr>
        <b/>
        <sz val="11"/>
        <color theme="1"/>
        <rFont val="Calibri"/>
        <family val="2"/>
        <scheme val="minor"/>
      </rPr>
      <t>drop</t>
    </r>
    <r>
      <rPr>
        <sz val="11"/>
        <color theme="1"/>
        <rFont val="Calibri"/>
        <family val="2"/>
        <scheme val="minor"/>
      </rPr>
      <t xml:space="preserve"> in </t>
    </r>
    <r>
      <rPr>
        <b/>
        <sz val="11"/>
        <color theme="1"/>
        <rFont val="Calibri"/>
        <family val="2"/>
        <scheme val="minor"/>
      </rPr>
      <t>March</t>
    </r>
    <r>
      <rPr>
        <sz val="11"/>
        <color theme="1"/>
        <rFont val="Calibri"/>
        <family val="2"/>
        <scheme val="minor"/>
      </rPr>
      <t xml:space="preserve">. </t>
    </r>
  </si>
  <si>
    <t xml:space="preserve">Not much data to show any trends, must wait to see for at least a year of sales.  </t>
  </si>
  <si>
    <r>
      <rPr>
        <b/>
        <sz val="11"/>
        <color theme="1"/>
        <rFont val="Calibri"/>
        <family val="2"/>
        <scheme val="minor"/>
      </rPr>
      <t>High</t>
    </r>
    <r>
      <rPr>
        <sz val="11"/>
        <color theme="1"/>
        <rFont val="Calibri"/>
        <family val="2"/>
        <scheme val="minor"/>
      </rPr>
      <t xml:space="preserve"> Dependancy on </t>
    </r>
    <r>
      <rPr>
        <b/>
        <sz val="11"/>
        <color theme="1"/>
        <rFont val="Calibri"/>
        <family val="2"/>
        <scheme val="minor"/>
      </rPr>
      <t xml:space="preserve">Laptop </t>
    </r>
    <r>
      <rPr>
        <sz val="11"/>
        <color theme="1"/>
        <rFont val="Calibri"/>
        <family val="2"/>
        <scheme val="minor"/>
      </rPr>
      <t>Product line (Nearly a quarter of all revenue)</t>
    </r>
  </si>
  <si>
    <r>
      <rPr>
        <b/>
        <sz val="11"/>
        <color theme="1"/>
        <rFont val="Calibri"/>
        <family val="2"/>
        <scheme val="minor"/>
      </rPr>
      <t>Weak</t>
    </r>
    <r>
      <rPr>
        <sz val="11"/>
        <color theme="1"/>
        <rFont val="Calibri"/>
        <family val="2"/>
        <scheme val="minor"/>
      </rPr>
      <t xml:space="preserve"> performance in </t>
    </r>
    <r>
      <rPr>
        <b/>
        <sz val="11"/>
        <color theme="1"/>
        <rFont val="Calibri"/>
        <family val="2"/>
        <scheme val="minor"/>
      </rPr>
      <t xml:space="preserve">East </t>
    </r>
    <r>
      <rPr>
        <sz val="11"/>
        <color theme="1"/>
        <rFont val="Calibri"/>
        <family val="2"/>
        <scheme val="minor"/>
      </rPr>
      <t xml:space="preserve">may indicate </t>
    </r>
    <r>
      <rPr>
        <b/>
        <sz val="11"/>
        <color theme="1"/>
        <rFont val="Calibri"/>
        <family val="2"/>
        <scheme val="minor"/>
      </rPr>
      <t>poor</t>
    </r>
    <r>
      <rPr>
        <sz val="11"/>
        <color theme="1"/>
        <rFont val="Calibri"/>
        <family val="2"/>
        <scheme val="minor"/>
      </rPr>
      <t xml:space="preserve"> market penetration or </t>
    </r>
    <r>
      <rPr>
        <b/>
        <sz val="11"/>
        <color theme="1"/>
        <rFont val="Calibri"/>
        <family val="2"/>
        <scheme val="minor"/>
      </rPr>
      <t>low demand</t>
    </r>
  </si>
  <si>
    <r>
      <t xml:space="preserve">Sharp </t>
    </r>
    <r>
      <rPr>
        <b/>
        <sz val="11"/>
        <color theme="1"/>
        <rFont val="Calibri"/>
        <family val="2"/>
        <scheme val="minor"/>
      </rPr>
      <t>decline</t>
    </r>
    <r>
      <rPr>
        <sz val="11"/>
        <color theme="1"/>
        <rFont val="Calibri"/>
        <family val="2"/>
        <scheme val="minor"/>
      </rPr>
      <t xml:space="preserve"> in </t>
    </r>
    <r>
      <rPr>
        <b/>
        <sz val="11"/>
        <color theme="1"/>
        <rFont val="Calibri"/>
        <family val="2"/>
        <scheme val="minor"/>
      </rPr>
      <t>March</t>
    </r>
    <r>
      <rPr>
        <sz val="11"/>
        <color theme="1"/>
        <rFont val="Calibri"/>
        <family val="2"/>
        <scheme val="minor"/>
      </rPr>
      <t xml:space="preserve"> sales could signal the start of a </t>
    </r>
    <r>
      <rPr>
        <b/>
        <sz val="11"/>
        <color theme="1"/>
        <rFont val="Calibri"/>
        <family val="2"/>
        <scheme val="minor"/>
      </rPr>
      <t>downward</t>
    </r>
    <r>
      <rPr>
        <sz val="11"/>
        <color theme="1"/>
        <rFont val="Calibri"/>
        <family val="2"/>
        <scheme val="minor"/>
      </rPr>
      <t xml:space="preserve"> trend</t>
    </r>
  </si>
  <si>
    <r>
      <rPr>
        <b/>
        <sz val="11"/>
        <color theme="1"/>
        <rFont val="Calibri"/>
        <family val="2"/>
        <scheme val="minor"/>
      </rPr>
      <t>Increase</t>
    </r>
    <r>
      <rPr>
        <sz val="11"/>
        <color theme="1"/>
        <rFont val="Calibri"/>
        <family val="2"/>
        <scheme val="minor"/>
      </rPr>
      <t xml:space="preserve"> marketing focus in </t>
    </r>
    <r>
      <rPr>
        <b/>
        <sz val="11"/>
        <color theme="1"/>
        <rFont val="Calibri"/>
        <family val="2"/>
        <scheme val="minor"/>
      </rPr>
      <t>East</t>
    </r>
    <r>
      <rPr>
        <sz val="11"/>
        <color theme="1"/>
        <rFont val="Calibri"/>
        <family val="2"/>
        <scheme val="minor"/>
      </rPr>
      <t xml:space="preserve"> and </t>
    </r>
    <r>
      <rPr>
        <b/>
        <sz val="11"/>
        <color theme="1"/>
        <rFont val="Calibri"/>
        <family val="2"/>
        <scheme val="minor"/>
      </rPr>
      <t>North</t>
    </r>
    <r>
      <rPr>
        <sz val="11"/>
        <color theme="1"/>
        <rFont val="Calibri"/>
        <family val="2"/>
        <scheme val="minor"/>
      </rPr>
      <t xml:space="preserve"> to grow </t>
    </r>
    <r>
      <rPr>
        <b/>
        <sz val="11"/>
        <color theme="1"/>
        <rFont val="Calibri"/>
        <family val="2"/>
        <scheme val="minor"/>
      </rPr>
      <t>underperforming</t>
    </r>
    <r>
      <rPr>
        <sz val="11"/>
        <color theme="1"/>
        <rFont val="Calibri"/>
        <family val="2"/>
        <scheme val="minor"/>
      </rPr>
      <t xml:space="preserve"> regions</t>
    </r>
  </si>
  <si>
    <r>
      <t>Explore</t>
    </r>
    <r>
      <rPr>
        <b/>
        <sz val="11"/>
        <color theme="1"/>
        <rFont val="Calibri"/>
        <family val="2"/>
        <scheme val="minor"/>
      </rPr>
      <t xml:space="preserve"> promotions</t>
    </r>
    <r>
      <rPr>
        <sz val="11"/>
        <color theme="1"/>
        <rFont val="Calibri"/>
        <family val="2"/>
        <scheme val="minor"/>
      </rPr>
      <t xml:space="preserve"> or </t>
    </r>
    <r>
      <rPr>
        <b/>
        <sz val="11"/>
        <color theme="1"/>
        <rFont val="Calibri"/>
        <family val="2"/>
        <scheme val="minor"/>
      </rPr>
      <t>bundles</t>
    </r>
    <r>
      <rPr>
        <sz val="11"/>
        <color theme="1"/>
        <rFont val="Calibri"/>
        <family val="2"/>
        <scheme val="minor"/>
      </rPr>
      <t xml:space="preserve"> for </t>
    </r>
    <r>
      <rPr>
        <b/>
        <sz val="11"/>
        <color theme="1"/>
        <rFont val="Calibri"/>
        <family val="2"/>
        <scheme val="minor"/>
      </rPr>
      <t>poorly</t>
    </r>
    <r>
      <rPr>
        <sz val="11"/>
        <color theme="1"/>
        <rFont val="Calibri"/>
        <family val="2"/>
        <scheme val="minor"/>
      </rPr>
      <t xml:space="preserve"> performing products like </t>
    </r>
    <r>
      <rPr>
        <b/>
        <sz val="11"/>
        <color theme="1"/>
        <rFont val="Calibri"/>
        <family val="2"/>
        <scheme val="minor"/>
      </rPr>
      <t>headphones</t>
    </r>
  </si>
  <si>
    <r>
      <rPr>
        <b/>
        <sz val="11"/>
        <color theme="1"/>
        <rFont val="Calibri"/>
        <family val="2"/>
        <scheme val="minor"/>
      </rPr>
      <t>Investigate</t>
    </r>
    <r>
      <rPr>
        <sz val="11"/>
        <color theme="1"/>
        <rFont val="Calibri"/>
        <family val="2"/>
        <scheme val="minor"/>
      </rPr>
      <t xml:space="preserve"> </t>
    </r>
    <r>
      <rPr>
        <b/>
        <sz val="11"/>
        <color theme="1"/>
        <rFont val="Calibri"/>
        <family val="2"/>
        <scheme val="minor"/>
      </rPr>
      <t>March</t>
    </r>
    <r>
      <rPr>
        <sz val="11"/>
        <color theme="1"/>
        <rFont val="Calibri"/>
        <family val="2"/>
        <scheme val="minor"/>
      </rPr>
      <t xml:space="preserve"> performance (</t>
    </r>
    <r>
      <rPr>
        <b/>
        <sz val="11"/>
        <color theme="1"/>
        <rFont val="Calibri"/>
        <family val="2"/>
        <scheme val="minor"/>
      </rPr>
      <t>pricing</t>
    </r>
    <r>
      <rPr>
        <sz val="11"/>
        <color theme="1"/>
        <rFont val="Calibri"/>
        <family val="2"/>
        <scheme val="minor"/>
      </rPr>
      <t xml:space="preserve">, </t>
    </r>
    <r>
      <rPr>
        <b/>
        <sz val="11"/>
        <color theme="1"/>
        <rFont val="Calibri"/>
        <family val="2"/>
        <scheme val="minor"/>
      </rPr>
      <t>seasonality</t>
    </r>
    <r>
      <rPr>
        <sz val="11"/>
        <color theme="1"/>
        <rFont val="Calibri"/>
        <family val="2"/>
        <scheme val="minor"/>
      </rPr>
      <t xml:space="preserve">, </t>
    </r>
    <r>
      <rPr>
        <b/>
        <sz val="11"/>
        <color theme="1"/>
        <rFont val="Calibri"/>
        <family val="2"/>
        <scheme val="minor"/>
      </rPr>
      <t>campaign changes</t>
    </r>
    <r>
      <rPr>
        <sz val="11"/>
        <color theme="1"/>
        <rFont val="Calibri"/>
        <family val="2"/>
        <scheme val="minor"/>
      </rPr>
      <t>) before it becomes a</t>
    </r>
    <r>
      <rPr>
        <b/>
        <sz val="11"/>
        <color theme="1"/>
        <rFont val="Calibri"/>
        <family val="2"/>
        <scheme val="minor"/>
      </rPr>
      <t xml:space="preserve"> bigger </t>
    </r>
    <r>
      <rPr>
        <sz val="11"/>
        <color theme="1"/>
        <rFont val="Calibri"/>
        <family val="2"/>
        <scheme val="minor"/>
      </rPr>
      <t>problem</t>
    </r>
  </si>
  <si>
    <t>Monthly Sales Insights – Jan–Mar 2025</t>
  </si>
  <si>
    <t>Key Findings</t>
  </si>
  <si>
    <t>The Risks</t>
  </si>
  <si>
    <t>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</si>
</sst>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5" x14ac:knownFonts="1">
    <font>
      <sz val="11"/>
      <color theme="1"/>
      <name val="Calibri"/>
      <family val="2"/>
      <scheme val="minor"/>
    </font>
    <font>
      <b/>
      <sz val="11"/>
      <color theme="1"/>
      <name val="Calibri"/>
      <family val="2"/>
      <scheme val="minor"/>
    </font>
    <font>
      <b/>
      <sz val="14"/>
      <color theme="1"/>
      <name val="Calibri"/>
      <family val="2"/>
      <scheme val="minor"/>
    </font>
    <font>
      <b/>
      <i/>
      <sz val="28"/>
      <color theme="1"/>
      <name val="Calibri"/>
      <family val="2"/>
      <scheme val="minor"/>
    </font>
    <font>
      <b/>
      <i/>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6">
    <xf numFmtId="0" fontId="0" fillId="0" borderId="0" xfId="0"/>
    <xf numFmtId="14" fontId="0" fillId="0" borderId="0" xfId="0" applyNumberFormat="1"/>
    <xf numFmtId="164" fontId="0" fillId="0" borderId="0" xfId="0" applyNumberFormat="1"/>
    <xf numFmtId="0" fontId="0" fillId="0" borderId="1" xfId="0" applyBorder="1" applyAlignment="1">
      <alignment horizontal="center"/>
    </xf>
    <xf numFmtId="164" fontId="0" fillId="0" borderId="1" xfId="0" applyNumberFormat="1" applyBorder="1" applyAlignment="1">
      <alignment horizontal="center"/>
    </xf>
    <xf numFmtId="0" fontId="0" fillId="0" borderId="0" xfId="0" applyAlignment="1">
      <alignment horizontal="left"/>
    </xf>
    <xf numFmtId="0" fontId="0" fillId="0" borderId="0" xfId="0" applyNumberFormat="1"/>
    <xf numFmtId="14" fontId="0" fillId="0" borderId="2" xfId="0" applyNumberFormat="1" applyBorder="1" applyAlignment="1">
      <alignment horizontal="center"/>
    </xf>
    <xf numFmtId="164" fontId="0" fillId="0" borderId="3" xfId="0" applyNumberFormat="1" applyBorder="1" applyAlignment="1">
      <alignment horizontal="center"/>
    </xf>
    <xf numFmtId="14" fontId="1" fillId="0" borderId="4" xfId="0" applyNumberFormat="1" applyFont="1" applyBorder="1" applyAlignment="1">
      <alignment horizontal="center" vertical="top"/>
    </xf>
    <xf numFmtId="0" fontId="1" fillId="0" borderId="5" xfId="0" applyFont="1" applyBorder="1" applyAlignment="1">
      <alignment horizontal="center" vertical="top"/>
    </xf>
    <xf numFmtId="164" fontId="1" fillId="0" borderId="5" xfId="0" applyNumberFormat="1" applyFont="1" applyBorder="1" applyAlignment="1">
      <alignment horizontal="center" vertical="top"/>
    </xf>
    <xf numFmtId="164" fontId="1" fillId="0" borderId="6" xfId="0" applyNumberFormat="1" applyFont="1" applyBorder="1" applyAlignment="1">
      <alignment horizontal="center" vertical="top"/>
    </xf>
    <xf numFmtId="14" fontId="0" fillId="0" borderId="7" xfId="0" applyNumberFormat="1" applyBorder="1" applyAlignment="1">
      <alignment horizontal="center"/>
    </xf>
    <xf numFmtId="0" fontId="0" fillId="0" borderId="8" xfId="0" applyBorder="1" applyAlignment="1">
      <alignment horizontal="center"/>
    </xf>
    <xf numFmtId="164" fontId="0" fillId="0" borderId="8" xfId="0" applyNumberFormat="1" applyBorder="1" applyAlignment="1">
      <alignment horizontal="center"/>
    </xf>
    <xf numFmtId="164" fontId="0" fillId="0" borderId="9" xfId="0" applyNumberFormat="1" applyBorder="1" applyAlignment="1">
      <alignment horizontal="center"/>
    </xf>
    <xf numFmtId="0" fontId="1" fillId="2" borderId="10" xfId="0" applyFont="1" applyFill="1" applyBorder="1"/>
    <xf numFmtId="0" fontId="1" fillId="2" borderId="12" xfId="0" applyFont="1" applyFill="1" applyBorder="1"/>
    <xf numFmtId="0" fontId="1" fillId="2" borderId="15" xfId="0" applyFont="1" applyFill="1" applyBorder="1"/>
    <xf numFmtId="0" fontId="0" fillId="0" borderId="12" xfId="0" applyBorder="1" applyAlignment="1">
      <alignment horizontal="left"/>
    </xf>
    <xf numFmtId="164" fontId="0" fillId="0" borderId="17" xfId="0" applyNumberFormat="1" applyBorder="1"/>
    <xf numFmtId="164" fontId="0" fillId="0" borderId="18" xfId="0" applyNumberFormat="1" applyBorder="1"/>
    <xf numFmtId="164" fontId="0" fillId="0" borderId="19" xfId="0" applyNumberFormat="1" applyBorder="1"/>
    <xf numFmtId="0" fontId="0" fillId="0" borderId="14" xfId="0" pivotButton="1" applyBorder="1"/>
    <xf numFmtId="0" fontId="0" fillId="0" borderId="14" xfId="0" applyBorder="1"/>
    <xf numFmtId="0" fontId="0" fillId="0" borderId="17" xfId="0" applyBorder="1" applyAlignment="1">
      <alignment horizontal="left"/>
    </xf>
    <xf numFmtId="0" fontId="0" fillId="0" borderId="18" xfId="0" applyBorder="1" applyAlignment="1">
      <alignment horizontal="left"/>
    </xf>
    <xf numFmtId="0" fontId="0" fillId="0" borderId="19" xfId="0" applyBorder="1" applyAlignment="1">
      <alignment horizontal="left"/>
    </xf>
    <xf numFmtId="0" fontId="0" fillId="0" borderId="14" xfId="0" applyBorder="1" applyAlignment="1">
      <alignment horizontal="left"/>
    </xf>
    <xf numFmtId="0" fontId="0" fillId="0" borderId="17" xfId="0" applyFont="1" applyBorder="1" applyAlignment="1">
      <alignment horizontal="left"/>
    </xf>
    <xf numFmtId="164" fontId="0" fillId="0" borderId="17" xfId="0" applyNumberFormat="1" applyFont="1" applyBorder="1"/>
    <xf numFmtId="0" fontId="0" fillId="0" borderId="18" xfId="0" applyFont="1" applyBorder="1" applyAlignment="1">
      <alignment horizontal="left"/>
    </xf>
    <xf numFmtId="164" fontId="0" fillId="0" borderId="18" xfId="0" applyNumberFormat="1" applyFont="1" applyBorder="1"/>
    <xf numFmtId="0" fontId="0" fillId="0" borderId="19" xfId="0" applyFont="1" applyBorder="1" applyAlignment="1">
      <alignment horizontal="left"/>
    </xf>
    <xf numFmtId="0" fontId="0" fillId="0" borderId="0" xfId="0" applyBorder="1" applyAlignment="1">
      <alignment horizontal="left"/>
    </xf>
    <xf numFmtId="164" fontId="0" fillId="0" borderId="0" xfId="0" applyNumberFormat="1" applyBorder="1"/>
    <xf numFmtId="0" fontId="0" fillId="0" borderId="0" xfId="0" applyBorder="1"/>
    <xf numFmtId="0" fontId="2" fillId="0" borderId="0" xfId="0" applyFont="1"/>
    <xf numFmtId="0" fontId="3" fillId="0" borderId="0" xfId="0" applyFont="1"/>
    <xf numFmtId="164" fontId="0" fillId="2" borderId="11" xfId="0" applyNumberFormat="1" applyFont="1" applyFill="1" applyBorder="1"/>
    <xf numFmtId="0" fontId="0" fillId="2" borderId="13" xfId="0" applyNumberFormat="1" applyFont="1" applyFill="1" applyBorder="1"/>
    <xf numFmtId="164" fontId="0" fillId="2" borderId="13" xfId="0" applyNumberFormat="1" applyFont="1" applyFill="1" applyBorder="1"/>
    <xf numFmtId="0" fontId="0" fillId="2" borderId="13" xfId="0" applyFont="1" applyFill="1" applyBorder="1" applyAlignment="1">
      <alignment horizontal="right"/>
    </xf>
    <xf numFmtId="0" fontId="0" fillId="2" borderId="16" xfId="0" applyFont="1" applyFill="1" applyBorder="1" applyAlignment="1">
      <alignment horizontal="right"/>
    </xf>
    <xf numFmtId="0" fontId="4" fillId="0" borderId="0" xfId="0" applyFont="1"/>
  </cellXfs>
  <cellStyles count="1">
    <cellStyle name="Normal" xfId="0" builtinId="0"/>
  </cellStyles>
  <dxfs count="252">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val="0"/>
      </font>
    </dxf>
    <dxf>
      <font>
        <b val="0"/>
      </font>
    </dxf>
    <dxf>
      <font>
        <b val="0"/>
      </font>
    </dxf>
    <dxf>
      <font>
        <b val="0"/>
      </font>
    </dxf>
    <dxf>
      <font>
        <b/>
      </font>
    </dxf>
    <dxf>
      <font>
        <b/>
      </font>
    </dxf>
    <dxf>
      <font>
        <b/>
      </font>
    </dxf>
    <dxf>
      <font>
        <b/>
      </font>
    </dxf>
    <dxf>
      <font>
        <b val="0"/>
      </font>
    </dxf>
    <dxf>
      <font>
        <b val="0"/>
      </font>
    </dxf>
    <dxf>
      <font>
        <b val="0"/>
      </font>
    </dxf>
    <dxf>
      <font>
        <b val="0"/>
      </font>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val="0"/>
      </font>
    </dxf>
    <dxf>
      <font>
        <b val="0"/>
      </font>
    </dxf>
    <dxf>
      <font>
        <b val="0"/>
      </font>
    </dxf>
    <dxf>
      <font>
        <b val="0"/>
      </font>
    </dxf>
    <dxf>
      <font>
        <b/>
      </font>
    </dxf>
    <dxf>
      <font>
        <b/>
      </font>
    </dxf>
    <dxf>
      <font>
        <b/>
      </font>
    </dxf>
    <dxf>
      <font>
        <b/>
      </font>
    </dxf>
    <dxf>
      <font>
        <b val="0"/>
      </font>
    </dxf>
    <dxf>
      <font>
        <b val="0"/>
      </font>
    </dxf>
    <dxf>
      <font>
        <b val="0"/>
      </font>
    </dxf>
    <dxf>
      <font>
        <b val="0"/>
      </font>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val="0"/>
      </font>
    </dxf>
    <dxf>
      <font>
        <b val="0"/>
      </font>
    </dxf>
    <dxf>
      <font>
        <b val="0"/>
      </font>
    </dxf>
    <dxf>
      <font>
        <b val="0"/>
      </font>
    </dxf>
    <dxf>
      <font>
        <b/>
      </font>
    </dxf>
    <dxf>
      <font>
        <b/>
      </font>
    </dxf>
    <dxf>
      <font>
        <b/>
      </font>
    </dxf>
    <dxf>
      <font>
        <b/>
      </font>
    </dxf>
    <dxf>
      <font>
        <b val="0"/>
      </font>
    </dxf>
    <dxf>
      <font>
        <b val="0"/>
      </font>
    </dxf>
    <dxf>
      <font>
        <b val="0"/>
      </font>
    </dxf>
    <dxf>
      <font>
        <b val="0"/>
      </font>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val="0"/>
      </font>
    </dxf>
    <dxf>
      <font>
        <b val="0"/>
      </font>
    </dxf>
    <dxf>
      <font>
        <b val="0"/>
      </font>
    </dxf>
    <dxf>
      <font>
        <b val="0"/>
      </font>
    </dxf>
    <dxf>
      <font>
        <b/>
      </font>
    </dxf>
    <dxf>
      <font>
        <b/>
      </font>
    </dxf>
    <dxf>
      <font>
        <b/>
      </font>
    </dxf>
    <dxf>
      <font>
        <b/>
      </font>
    </dxf>
    <dxf>
      <font>
        <b val="0"/>
      </font>
    </dxf>
    <dxf>
      <font>
        <b val="0"/>
      </font>
    </dxf>
    <dxf>
      <font>
        <b val="0"/>
      </font>
    </dxf>
    <dxf>
      <font>
        <b val="0"/>
      </font>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val="0"/>
      </font>
    </dxf>
    <dxf>
      <font>
        <b val="0"/>
      </font>
    </dxf>
    <dxf>
      <font>
        <b val="0"/>
      </font>
    </dxf>
    <dxf>
      <font>
        <b val="0"/>
      </font>
    </dxf>
    <dxf>
      <font>
        <b/>
      </font>
    </dxf>
    <dxf>
      <font>
        <b/>
      </font>
    </dxf>
    <dxf>
      <font>
        <b/>
      </font>
    </dxf>
    <dxf>
      <font>
        <b/>
      </font>
    </dxf>
    <dxf>
      <font>
        <b val="0"/>
      </font>
    </dxf>
    <dxf>
      <font>
        <b val="0"/>
      </font>
    </dxf>
    <dxf>
      <font>
        <b val="0"/>
      </font>
    </dxf>
    <dxf>
      <font>
        <b val="0"/>
      </font>
    </dxf>
    <dxf>
      <font>
        <b val="0"/>
      </font>
    </dxf>
    <dxf>
      <font>
        <b val="0"/>
      </font>
    </dxf>
    <dxf>
      <font>
        <b val="0"/>
      </font>
    </dxf>
    <dxf>
      <font>
        <b val="0"/>
      </font>
    </dxf>
    <dxf>
      <font>
        <b/>
      </font>
    </dxf>
    <dxf>
      <font>
        <b/>
      </font>
    </dxf>
    <dxf>
      <font>
        <b/>
      </font>
    </dxf>
    <dxf>
      <font>
        <b/>
      </font>
    </dxf>
    <dxf>
      <font>
        <b val="0"/>
      </font>
    </dxf>
    <dxf>
      <font>
        <b val="0"/>
      </font>
    </dxf>
    <dxf>
      <font>
        <b val="0"/>
      </font>
    </dxf>
    <dxf>
      <font>
        <b val="0"/>
      </font>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numFmt numFmtId="164" formatCode="&quot;£&quot;#,##0.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numFmt numFmtId="164" formatCode="&quot;£&quot;#,##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Jan</c:v>
              </c:pt>
              <c:pt idx="1">
                <c:v>Feb</c:v>
              </c:pt>
              <c:pt idx="2">
                <c:v>Mar</c:v>
              </c:pt>
            </c:strLit>
          </c:cat>
          <c:val>
            <c:numLit>
              <c:formatCode>General</c:formatCode>
              <c:ptCount val="3"/>
              <c:pt idx="0">
                <c:v>74010</c:v>
              </c:pt>
              <c:pt idx="1">
                <c:v>80650</c:v>
              </c:pt>
              <c:pt idx="2">
                <c:v>7730</c:v>
              </c:pt>
            </c:numLit>
          </c:val>
          <c:smooth val="0"/>
          <c:extLst>
            <c:ext xmlns:c16="http://schemas.microsoft.com/office/drawing/2014/chart" uri="{C3380CC4-5D6E-409C-BE32-E72D297353CC}">
              <c16:uniqueId val="{00000000-9832-48F9-8EBB-319533E9910E}"/>
            </c:ext>
          </c:extLst>
        </c:ser>
        <c:dLbls>
          <c:showLegendKey val="0"/>
          <c:showVal val="0"/>
          <c:showCatName val="0"/>
          <c:showSerName val="0"/>
          <c:showPercent val="0"/>
          <c:showBubbleSize val="0"/>
        </c:dLbls>
        <c:smooth val="0"/>
        <c:axId val="1319324224"/>
        <c:axId val="1319325888"/>
      </c:lineChart>
      <c:catAx>
        <c:axId val="131932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325888"/>
        <c:crosses val="autoZero"/>
        <c:auto val="1"/>
        <c:lblAlgn val="ctr"/>
        <c:lblOffset val="100"/>
        <c:noMultiLvlLbl val="0"/>
      </c:catAx>
      <c:valAx>
        <c:axId val="131932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324224"/>
        <c:crosses val="autoZero"/>
        <c:crossBetween val="between"/>
      </c:valAx>
      <c:spPr>
        <a:noFill/>
        <a:ln>
          <a:noFill/>
        </a:ln>
        <a:effectLst/>
      </c:spPr>
    </c:plotArea>
    <c:legend>
      <c:legendPos val="r"/>
      <c:layout>
        <c:manualLayout>
          <c:xMode val="edge"/>
          <c:yMode val="edge"/>
          <c:x val="0.88742678776406148"/>
          <c:y val="0.41648854419513348"/>
          <c:w val="0.10234303320780555"/>
          <c:h val="5.30078740157480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4"/>
              <c:pt idx="0">
                <c:v>West</c:v>
              </c:pt>
              <c:pt idx="1">
                <c:v>South</c:v>
              </c:pt>
              <c:pt idx="2">
                <c:v>North</c:v>
              </c:pt>
              <c:pt idx="3">
                <c:v>East</c:v>
              </c:pt>
            </c:strLit>
          </c:cat>
          <c:val>
            <c:numLit>
              <c:formatCode>General</c:formatCode>
              <c:ptCount val="4"/>
              <c:pt idx="0">
                <c:v>53160</c:v>
              </c:pt>
              <c:pt idx="1">
                <c:v>45870</c:v>
              </c:pt>
              <c:pt idx="2">
                <c:v>35820</c:v>
              </c:pt>
              <c:pt idx="3">
                <c:v>27540</c:v>
              </c:pt>
            </c:numLit>
          </c:val>
          <c:extLst>
            <c:ext xmlns:c16="http://schemas.microsoft.com/office/drawing/2014/chart" uri="{C3380CC4-5D6E-409C-BE32-E72D297353CC}">
              <c16:uniqueId val="{00000000-DF41-4B91-B852-721DC48FD4A0}"/>
            </c:ext>
          </c:extLst>
        </c:ser>
        <c:dLbls>
          <c:showLegendKey val="0"/>
          <c:showVal val="0"/>
          <c:showCatName val="0"/>
          <c:showSerName val="0"/>
          <c:showPercent val="0"/>
          <c:showBubbleSize val="0"/>
        </c:dLbls>
        <c:gapWidth val="219"/>
        <c:overlap val="-27"/>
        <c:axId val="1313880304"/>
        <c:axId val="1313882384"/>
      </c:barChart>
      <c:catAx>
        <c:axId val="131388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882384"/>
        <c:crosses val="autoZero"/>
        <c:auto val="1"/>
        <c:lblAlgn val="ctr"/>
        <c:lblOffset val="100"/>
        <c:noMultiLvlLbl val="0"/>
      </c:catAx>
      <c:valAx>
        <c:axId val="131388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880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r>
              <a:rPr lang="en-US" baseline="0"/>
              <a:t> Revenue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5"/>
              <c:pt idx="0">
                <c:v>David</c:v>
              </c:pt>
              <c:pt idx="1">
                <c:v>Chris</c:v>
              </c:pt>
              <c:pt idx="2">
                <c:v>Evan</c:v>
              </c:pt>
              <c:pt idx="3">
                <c:v>Fatima</c:v>
              </c:pt>
              <c:pt idx="4">
                <c:v>George</c:v>
              </c:pt>
            </c:strLit>
          </c:cat>
          <c:val>
            <c:numLit>
              <c:formatCode>General</c:formatCode>
              <c:ptCount val="5"/>
              <c:pt idx="0">
                <c:v>27470</c:v>
              </c:pt>
              <c:pt idx="1">
                <c:v>26500</c:v>
              </c:pt>
              <c:pt idx="2">
                <c:v>20250</c:v>
              </c:pt>
              <c:pt idx="3">
                <c:v>19030</c:v>
              </c:pt>
              <c:pt idx="4">
                <c:v>18950</c:v>
              </c:pt>
            </c:numLit>
          </c:val>
          <c:extLst>
            <c:ext xmlns:c16="http://schemas.microsoft.com/office/drawing/2014/chart" uri="{C3380CC4-5D6E-409C-BE32-E72D297353CC}">
              <c16:uniqueId val="{00000000-965F-4F97-BE0B-9977EF1B9284}"/>
            </c:ext>
          </c:extLst>
        </c:ser>
        <c:dLbls>
          <c:showLegendKey val="0"/>
          <c:showVal val="0"/>
          <c:showCatName val="0"/>
          <c:showSerName val="0"/>
          <c:showPercent val="0"/>
          <c:showBubbleSize val="0"/>
        </c:dLbls>
        <c:gapWidth val="219"/>
        <c:overlap val="-27"/>
        <c:axId val="1269125648"/>
        <c:axId val="1269126064"/>
      </c:barChart>
      <c:catAx>
        <c:axId val="126912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126064"/>
        <c:crosses val="autoZero"/>
        <c:auto val="1"/>
        <c:lblAlgn val="ctr"/>
        <c:lblOffset val="100"/>
        <c:noMultiLvlLbl val="0"/>
      </c:catAx>
      <c:valAx>
        <c:axId val="126912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125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3B9-4703-A0E6-86842846A181}"/>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3B9-4703-A0E6-86842846A181}"/>
                </c:ext>
              </c:extLst>
            </c:dLbl>
            <c:dLbl>
              <c:idx val="2"/>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D3B9-4703-A0E6-86842846A181}"/>
                </c:ext>
              </c:extLst>
            </c:dLbl>
            <c:dLbl>
              <c:idx val="3"/>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D3B9-4703-A0E6-86842846A181}"/>
                </c:ext>
              </c:extLst>
            </c:dLbl>
            <c:dLbl>
              <c:idx val="4"/>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D3B9-4703-A0E6-86842846A181}"/>
                </c:ext>
              </c:extLst>
            </c:dLbl>
            <c:dLbl>
              <c:idx val="5"/>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D3B9-4703-A0E6-86842846A1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Laptop</c:v>
              </c:pt>
              <c:pt idx="1">
                <c:v>Tablet</c:v>
              </c:pt>
              <c:pt idx="2">
                <c:v>Monitor</c:v>
              </c:pt>
              <c:pt idx="3">
                <c:v>Keyboard</c:v>
              </c:pt>
              <c:pt idx="4">
                <c:v>Mouse</c:v>
              </c:pt>
              <c:pt idx="5">
                <c:v>Headphones</c:v>
              </c:pt>
            </c:strLit>
          </c:cat>
          <c:val>
            <c:numLit>
              <c:formatCode>General</c:formatCode>
              <c:ptCount val="6"/>
              <c:pt idx="0">
                <c:v>37250</c:v>
              </c:pt>
              <c:pt idx="1">
                <c:v>30010</c:v>
              </c:pt>
              <c:pt idx="2">
                <c:v>25380</c:v>
              </c:pt>
              <c:pt idx="3">
                <c:v>24340</c:v>
              </c:pt>
              <c:pt idx="4">
                <c:v>23800</c:v>
              </c:pt>
              <c:pt idx="5">
                <c:v>21610</c:v>
              </c:pt>
            </c:numLit>
          </c:val>
          <c:extLst>
            <c:ext xmlns:c16="http://schemas.microsoft.com/office/drawing/2014/chart" uri="{C3380CC4-5D6E-409C-BE32-E72D297353CC}">
              <c16:uniqueId val="{00000006-D3B9-4703-A0E6-86842846A181}"/>
            </c:ext>
          </c:extLst>
        </c:ser>
        <c:dLbls>
          <c:showLegendKey val="0"/>
          <c:showVal val="0"/>
          <c:showCatName val="0"/>
          <c:showSerName val="0"/>
          <c:showPercent val="0"/>
          <c:showBubbleSize val="0"/>
        </c:dLbls>
        <c:gapWidth val="219"/>
        <c:overlap val="-27"/>
        <c:axId val="1376874144"/>
        <c:axId val="1376872896"/>
      </c:barChart>
      <c:catAx>
        <c:axId val="137687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872896"/>
        <c:crosses val="autoZero"/>
        <c:auto val="1"/>
        <c:lblAlgn val="ctr"/>
        <c:lblOffset val="100"/>
        <c:noMultiLvlLbl val="0"/>
      </c:catAx>
      <c:valAx>
        <c:axId val="137687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874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12</xdr:row>
      <xdr:rowOff>126999</xdr:rowOff>
    </xdr:from>
    <xdr:to>
      <xdr:col>5</xdr:col>
      <xdr:colOff>2381250</xdr:colOff>
      <xdr:row>36</xdr:row>
      <xdr:rowOff>142874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1024991</xdr:colOff>
      <xdr:row>12</xdr:row>
      <xdr:rowOff>142875</xdr:rowOff>
    </xdr:from>
    <xdr:to>
      <xdr:col>12</xdr:col>
      <xdr:colOff>492125</xdr:colOff>
      <xdr:row>29</xdr:row>
      <xdr:rowOff>127000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180894</xdr:colOff>
      <xdr:row>37</xdr:row>
      <xdr:rowOff>153119</xdr:rowOff>
    </xdr:from>
    <xdr:to>
      <xdr:col>5</xdr:col>
      <xdr:colOff>1984375</xdr:colOff>
      <xdr:row>58</xdr:row>
      <xdr:rowOff>47624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238126</xdr:colOff>
      <xdr:row>30</xdr:row>
      <xdr:rowOff>127001</xdr:rowOff>
    </xdr:from>
    <xdr:to>
      <xdr:col>14</xdr:col>
      <xdr:colOff>593912</xdr:colOff>
      <xdr:row>56</xdr:row>
      <xdr:rowOff>4537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19050</xdr:colOff>
      <xdr:row>7</xdr:row>
      <xdr:rowOff>180975</xdr:rowOff>
    </xdr:from>
    <xdr:to>
      <xdr:col>7</xdr:col>
      <xdr:colOff>24336</xdr:colOff>
      <xdr:row>13</xdr:row>
      <xdr:rowOff>166966</xdr:rowOff>
    </xdr:to>
    <mc:AlternateContent xmlns:mc="http://schemas.openxmlformats.org/markup-compatibility/2006">
      <mc:Choice xmlns:a14="http://schemas.microsoft.com/office/drawing/2010/main" Requires="a14">
        <xdr:graphicFrame macro="">
          <xdr:nvGraphicFramePr>
            <xdr:cNvPr id="3"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3028950" y="1571625"/>
              <a:ext cx="1834086" cy="11670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xdr:colOff>
      <xdr:row>0</xdr:row>
      <xdr:rowOff>9525</xdr:rowOff>
    </xdr:from>
    <xdr:to>
      <xdr:col>6</xdr:col>
      <xdr:colOff>608662</xdr:colOff>
      <xdr:row>7</xdr:row>
      <xdr:rowOff>122517</xdr:rowOff>
    </xdr:to>
    <mc:AlternateContent xmlns:mc="http://schemas.openxmlformats.org/markup-compatibility/2006">
      <mc:Choice xmlns:a14="http://schemas.microsoft.com/office/drawing/2010/main"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19425" y="9525"/>
              <a:ext cx="1818337" cy="15036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25</xdr:row>
      <xdr:rowOff>28575</xdr:rowOff>
    </xdr:from>
    <xdr:to>
      <xdr:col>6</xdr:col>
      <xdr:colOff>576725</xdr:colOff>
      <xdr:row>35</xdr:row>
      <xdr:rowOff>143247</xdr:rowOff>
    </xdr:to>
    <mc:AlternateContent xmlns:mc="http://schemas.openxmlformats.org/markup-compatibility/2006">
      <mc:Choice xmlns:a14="http://schemas.microsoft.com/office/drawing/2010/main" Requires="a14">
        <xdr:graphicFrame macro="">
          <xdr:nvGraphicFramePr>
            <xdr:cNvPr id="5"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009900" y="4943475"/>
              <a:ext cx="1795925" cy="20482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14</xdr:row>
      <xdr:rowOff>152400</xdr:rowOff>
    </xdr:from>
    <xdr:to>
      <xdr:col>7</xdr:col>
      <xdr:colOff>43262</xdr:colOff>
      <xdr:row>23</xdr:row>
      <xdr:rowOff>188126</xdr:rowOff>
    </xdr:to>
    <mc:AlternateContent xmlns:mc="http://schemas.openxmlformats.org/markup-compatibility/2006">
      <mc:Choice xmlns:a14="http://schemas.microsoft.com/office/drawing/2010/main" Requires="a14">
        <xdr:graphicFrame macro="">
          <xdr:nvGraphicFramePr>
            <xdr:cNvPr id="6" name="Custome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3009900" y="2924175"/>
              <a:ext cx="1872062" cy="17788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ikz" refreshedDate="45986.843771643522" createdVersion="6" refreshedVersion="6" minRefreshableVersion="3" recordCount="200">
  <cacheSource type="worksheet">
    <worksheetSource name="SalesTable"/>
  </cacheSource>
  <cacheFields count="8">
    <cacheField name="Date" numFmtId="14">
      <sharedItems containsSemiMixedTypes="0" containsNonDate="0" containsDate="1" containsString="0" minDate="2025-01-01T00:00:00" maxDate="2025-03-02T00:00:00" count="56">
        <d v="2025-02-14T00:00:00"/>
        <d v="2025-02-18T00:00:00"/>
        <d v="2025-02-21T00:00:00"/>
        <d v="2025-01-29T00:00:00"/>
        <d v="2025-03-01T00:00:00"/>
        <d v="2025-02-16T00:00:00"/>
        <d v="2025-01-03T00:00:00"/>
        <d v="2025-01-07T00:00:00"/>
        <d v="2025-02-08T00:00:00"/>
        <d v="2025-01-30T00:00:00"/>
        <d v="2025-01-12T00:00:00"/>
        <d v="2025-02-27T00:00:00"/>
        <d v="2025-01-01T00:00:00"/>
        <d v="2025-02-13T00:00:00"/>
        <d v="2025-01-20T00:00:00"/>
        <d v="2025-02-20T00:00:00"/>
        <d v="2025-02-10T00:00:00"/>
        <d v="2025-01-21T00:00:00"/>
        <d v="2025-01-23T00:00:00"/>
        <d v="2025-02-19T00:00:00"/>
        <d v="2025-01-10T00:00:00"/>
        <d v="2025-02-24T00:00:00"/>
        <d v="2025-01-15T00:00:00"/>
        <d v="2025-02-22T00:00:00"/>
        <d v="2025-01-11T00:00:00"/>
        <d v="2025-01-09T00:00:00"/>
        <d v="2025-02-09T00:00:00"/>
        <d v="2025-01-05T00:00:00"/>
        <d v="2025-01-25T00:00:00"/>
        <d v="2025-02-28T00:00:00"/>
        <d v="2025-01-28T00:00:00"/>
        <d v="2025-02-01T00:00:00"/>
        <d v="2025-01-04T00:00:00"/>
        <d v="2025-02-26T00:00:00"/>
        <d v="2025-01-22T00:00:00"/>
        <d v="2025-02-02T00:00:00"/>
        <d v="2025-01-18T00:00:00"/>
        <d v="2025-01-06T00:00:00"/>
        <d v="2025-02-06T00:00:00"/>
        <d v="2025-02-04T00:00:00"/>
        <d v="2025-01-19T00:00:00"/>
        <d v="2025-01-17T00:00:00"/>
        <d v="2025-02-03T00:00:00"/>
        <d v="2025-02-23T00:00:00"/>
        <d v="2025-02-12T00:00:00"/>
        <d v="2025-02-05T00:00:00"/>
        <d v="2025-01-14T00:00:00"/>
        <d v="2025-02-25T00:00:00"/>
        <d v="2025-01-26T00:00:00"/>
        <d v="2025-01-24T00:00:00"/>
        <d v="2025-02-11T00:00:00"/>
        <d v="2025-01-31T00:00:00"/>
        <d v="2025-01-08T00:00:00"/>
        <d v="2025-02-07T00:00:00"/>
        <d v="2025-01-13T00:00:00"/>
        <d v="2025-02-17T00:00:00"/>
      </sharedItems>
      <fieldGroup par="7" base="0">
        <rangePr groupBy="days" startDate="2025-01-01T00:00:00" endDate="2025-03-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3/2025"/>
        </groupItems>
      </fieldGroup>
    </cacheField>
    <cacheField name="Product" numFmtId="0">
      <sharedItems count="6">
        <s v="Laptop"/>
        <s v="Keyboard"/>
        <s v="Mouse"/>
        <s v="Tablet"/>
        <s v="Headphones"/>
        <s v="Monitor"/>
      </sharedItems>
    </cacheField>
    <cacheField name="Region" numFmtId="0">
      <sharedItems count="4">
        <s v="North"/>
        <s v="South"/>
        <s v="West"/>
        <s v="East"/>
      </sharedItems>
    </cacheField>
    <cacheField name="Customer" numFmtId="0">
      <sharedItems count="8">
        <s v="George"/>
        <s v="David"/>
        <s v="Chris"/>
        <s v="Hina"/>
        <s v="Evan"/>
        <s v="Fatima"/>
        <s v="Alice"/>
        <s v="Bob"/>
      </sharedItems>
    </cacheField>
    <cacheField name="Quantity" numFmtId="0">
      <sharedItems containsSemiMixedTypes="0" containsString="0" containsNumber="1" containsInteger="1" minValue="1" maxValue="5"/>
    </cacheField>
    <cacheField name="UnitPrice" numFmtId="164">
      <sharedItems containsSemiMixedTypes="0" containsString="0" containsNumber="1" containsInteger="1" minValue="10" maxValue="800"/>
    </cacheField>
    <cacheField name="Revenue" numFmtId="164">
      <sharedItems containsSemiMixedTypes="0" containsString="0" containsNumber="1" containsInteger="1" minValue="10" maxValue="4000" count="26">
        <n v="4000"/>
        <n v="3200"/>
        <n v="2400"/>
        <n v="1750"/>
        <n v="1600"/>
        <n v="1400"/>
        <n v="1050"/>
        <n v="1000"/>
        <n v="800"/>
        <n v="700"/>
        <n v="600"/>
        <n v="480"/>
        <n v="400"/>
        <n v="360"/>
        <n v="350"/>
        <n v="240"/>
        <n v="200"/>
        <n v="120"/>
        <n v="100"/>
        <n v="80"/>
        <n v="60"/>
        <n v="50"/>
        <n v="40"/>
        <n v="30"/>
        <n v="20"/>
        <n v="10"/>
      </sharedItems>
    </cacheField>
    <cacheField name="Months" numFmtId="0" databaseField="0">
      <fieldGroup base="0">
        <rangePr groupBy="months" startDate="2025-01-01T00:00:00" endDate="2025-03-02T00:00:00"/>
        <groupItems count="14">
          <s v="&lt;01/01/2025"/>
          <s v="Jan"/>
          <s v="Feb"/>
          <s v="Mar"/>
          <s v="Apr"/>
          <s v="May"/>
          <s v="Jun"/>
          <s v="Jul"/>
          <s v="Aug"/>
          <s v="Sep"/>
          <s v="Oct"/>
          <s v="Nov"/>
          <s v="Dec"/>
          <s v="&gt;02/03/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x v="0"/>
    <x v="0"/>
    <x v="0"/>
    <x v="0"/>
    <n v="5"/>
    <n v="800"/>
    <x v="0"/>
  </r>
  <r>
    <x v="1"/>
    <x v="1"/>
    <x v="1"/>
    <x v="1"/>
    <n v="5"/>
    <n v="800"/>
    <x v="0"/>
  </r>
  <r>
    <x v="2"/>
    <x v="2"/>
    <x v="0"/>
    <x v="1"/>
    <n v="5"/>
    <n v="800"/>
    <x v="0"/>
  </r>
  <r>
    <x v="3"/>
    <x v="3"/>
    <x v="1"/>
    <x v="2"/>
    <n v="5"/>
    <n v="800"/>
    <x v="0"/>
  </r>
  <r>
    <x v="4"/>
    <x v="1"/>
    <x v="2"/>
    <x v="1"/>
    <n v="5"/>
    <n v="800"/>
    <x v="0"/>
  </r>
  <r>
    <x v="5"/>
    <x v="4"/>
    <x v="3"/>
    <x v="0"/>
    <n v="5"/>
    <n v="800"/>
    <x v="0"/>
  </r>
  <r>
    <x v="6"/>
    <x v="2"/>
    <x v="2"/>
    <x v="3"/>
    <n v="4"/>
    <n v="800"/>
    <x v="1"/>
  </r>
  <r>
    <x v="7"/>
    <x v="0"/>
    <x v="2"/>
    <x v="4"/>
    <n v="4"/>
    <n v="800"/>
    <x v="1"/>
  </r>
  <r>
    <x v="8"/>
    <x v="4"/>
    <x v="2"/>
    <x v="4"/>
    <n v="4"/>
    <n v="800"/>
    <x v="1"/>
  </r>
  <r>
    <x v="9"/>
    <x v="0"/>
    <x v="0"/>
    <x v="5"/>
    <n v="4"/>
    <n v="800"/>
    <x v="1"/>
  </r>
  <r>
    <x v="10"/>
    <x v="3"/>
    <x v="0"/>
    <x v="2"/>
    <n v="4"/>
    <n v="800"/>
    <x v="1"/>
  </r>
  <r>
    <x v="11"/>
    <x v="3"/>
    <x v="0"/>
    <x v="2"/>
    <n v="4"/>
    <n v="800"/>
    <x v="1"/>
  </r>
  <r>
    <x v="12"/>
    <x v="3"/>
    <x v="2"/>
    <x v="0"/>
    <n v="4"/>
    <n v="800"/>
    <x v="1"/>
  </r>
  <r>
    <x v="13"/>
    <x v="0"/>
    <x v="0"/>
    <x v="4"/>
    <n v="4"/>
    <n v="800"/>
    <x v="1"/>
  </r>
  <r>
    <x v="14"/>
    <x v="0"/>
    <x v="2"/>
    <x v="6"/>
    <n v="4"/>
    <n v="800"/>
    <x v="1"/>
  </r>
  <r>
    <x v="15"/>
    <x v="0"/>
    <x v="2"/>
    <x v="2"/>
    <n v="3"/>
    <n v="800"/>
    <x v="2"/>
  </r>
  <r>
    <x v="16"/>
    <x v="2"/>
    <x v="3"/>
    <x v="5"/>
    <n v="3"/>
    <n v="800"/>
    <x v="2"/>
  </r>
  <r>
    <x v="17"/>
    <x v="5"/>
    <x v="2"/>
    <x v="3"/>
    <n v="3"/>
    <n v="800"/>
    <x v="2"/>
  </r>
  <r>
    <x v="18"/>
    <x v="5"/>
    <x v="1"/>
    <x v="7"/>
    <n v="3"/>
    <n v="800"/>
    <x v="2"/>
  </r>
  <r>
    <x v="19"/>
    <x v="5"/>
    <x v="1"/>
    <x v="5"/>
    <n v="3"/>
    <n v="800"/>
    <x v="2"/>
  </r>
  <r>
    <x v="20"/>
    <x v="1"/>
    <x v="1"/>
    <x v="7"/>
    <n v="3"/>
    <n v="800"/>
    <x v="2"/>
  </r>
  <r>
    <x v="21"/>
    <x v="3"/>
    <x v="3"/>
    <x v="6"/>
    <n v="3"/>
    <n v="800"/>
    <x v="2"/>
  </r>
  <r>
    <x v="22"/>
    <x v="0"/>
    <x v="0"/>
    <x v="5"/>
    <n v="3"/>
    <n v="800"/>
    <x v="2"/>
  </r>
  <r>
    <x v="23"/>
    <x v="3"/>
    <x v="1"/>
    <x v="7"/>
    <n v="3"/>
    <n v="800"/>
    <x v="2"/>
  </r>
  <r>
    <x v="24"/>
    <x v="5"/>
    <x v="0"/>
    <x v="2"/>
    <n v="3"/>
    <n v="800"/>
    <x v="2"/>
  </r>
  <r>
    <x v="25"/>
    <x v="1"/>
    <x v="2"/>
    <x v="2"/>
    <n v="3"/>
    <n v="800"/>
    <x v="2"/>
  </r>
  <r>
    <x v="4"/>
    <x v="0"/>
    <x v="2"/>
    <x v="0"/>
    <n v="5"/>
    <n v="350"/>
    <x v="3"/>
  </r>
  <r>
    <x v="26"/>
    <x v="1"/>
    <x v="3"/>
    <x v="1"/>
    <n v="5"/>
    <n v="350"/>
    <x v="3"/>
  </r>
  <r>
    <x v="23"/>
    <x v="4"/>
    <x v="1"/>
    <x v="1"/>
    <n v="5"/>
    <n v="350"/>
    <x v="3"/>
  </r>
  <r>
    <x v="27"/>
    <x v="3"/>
    <x v="1"/>
    <x v="2"/>
    <n v="5"/>
    <n v="350"/>
    <x v="3"/>
  </r>
  <r>
    <x v="9"/>
    <x v="2"/>
    <x v="0"/>
    <x v="6"/>
    <n v="5"/>
    <n v="350"/>
    <x v="3"/>
  </r>
  <r>
    <x v="9"/>
    <x v="1"/>
    <x v="3"/>
    <x v="6"/>
    <n v="5"/>
    <n v="350"/>
    <x v="3"/>
  </r>
  <r>
    <x v="28"/>
    <x v="5"/>
    <x v="1"/>
    <x v="7"/>
    <n v="2"/>
    <n v="800"/>
    <x v="4"/>
  </r>
  <r>
    <x v="29"/>
    <x v="3"/>
    <x v="1"/>
    <x v="0"/>
    <n v="2"/>
    <n v="800"/>
    <x v="4"/>
  </r>
  <r>
    <x v="30"/>
    <x v="0"/>
    <x v="2"/>
    <x v="1"/>
    <n v="2"/>
    <n v="800"/>
    <x v="4"/>
  </r>
  <r>
    <x v="31"/>
    <x v="0"/>
    <x v="2"/>
    <x v="2"/>
    <n v="2"/>
    <n v="800"/>
    <x v="4"/>
  </r>
  <r>
    <x v="0"/>
    <x v="5"/>
    <x v="2"/>
    <x v="3"/>
    <n v="2"/>
    <n v="800"/>
    <x v="4"/>
  </r>
  <r>
    <x v="1"/>
    <x v="2"/>
    <x v="2"/>
    <x v="1"/>
    <n v="2"/>
    <n v="800"/>
    <x v="4"/>
  </r>
  <r>
    <x v="32"/>
    <x v="1"/>
    <x v="2"/>
    <x v="6"/>
    <n v="2"/>
    <n v="800"/>
    <x v="4"/>
  </r>
  <r>
    <x v="5"/>
    <x v="5"/>
    <x v="3"/>
    <x v="5"/>
    <n v="2"/>
    <n v="800"/>
    <x v="4"/>
  </r>
  <r>
    <x v="33"/>
    <x v="2"/>
    <x v="1"/>
    <x v="6"/>
    <n v="4"/>
    <n v="350"/>
    <x v="5"/>
  </r>
  <r>
    <x v="4"/>
    <x v="0"/>
    <x v="1"/>
    <x v="6"/>
    <n v="4"/>
    <n v="350"/>
    <x v="5"/>
  </r>
  <r>
    <x v="9"/>
    <x v="2"/>
    <x v="3"/>
    <x v="3"/>
    <n v="4"/>
    <n v="350"/>
    <x v="5"/>
  </r>
  <r>
    <x v="34"/>
    <x v="0"/>
    <x v="0"/>
    <x v="5"/>
    <n v="4"/>
    <n v="350"/>
    <x v="5"/>
  </r>
  <r>
    <x v="5"/>
    <x v="0"/>
    <x v="1"/>
    <x v="5"/>
    <n v="4"/>
    <n v="350"/>
    <x v="5"/>
  </r>
  <r>
    <x v="30"/>
    <x v="4"/>
    <x v="1"/>
    <x v="1"/>
    <n v="4"/>
    <n v="350"/>
    <x v="5"/>
  </r>
  <r>
    <x v="35"/>
    <x v="3"/>
    <x v="2"/>
    <x v="4"/>
    <n v="4"/>
    <n v="350"/>
    <x v="5"/>
  </r>
  <r>
    <x v="8"/>
    <x v="5"/>
    <x v="0"/>
    <x v="0"/>
    <n v="3"/>
    <n v="350"/>
    <x v="6"/>
  </r>
  <r>
    <x v="21"/>
    <x v="5"/>
    <x v="2"/>
    <x v="6"/>
    <n v="3"/>
    <n v="350"/>
    <x v="6"/>
  </r>
  <r>
    <x v="36"/>
    <x v="4"/>
    <x v="1"/>
    <x v="7"/>
    <n v="3"/>
    <n v="350"/>
    <x v="6"/>
  </r>
  <r>
    <x v="3"/>
    <x v="2"/>
    <x v="2"/>
    <x v="7"/>
    <n v="3"/>
    <n v="350"/>
    <x v="6"/>
  </r>
  <r>
    <x v="32"/>
    <x v="5"/>
    <x v="1"/>
    <x v="1"/>
    <n v="3"/>
    <n v="350"/>
    <x v="6"/>
  </r>
  <r>
    <x v="22"/>
    <x v="2"/>
    <x v="2"/>
    <x v="7"/>
    <n v="3"/>
    <n v="350"/>
    <x v="6"/>
  </r>
  <r>
    <x v="16"/>
    <x v="3"/>
    <x v="1"/>
    <x v="1"/>
    <n v="3"/>
    <n v="350"/>
    <x v="6"/>
  </r>
  <r>
    <x v="37"/>
    <x v="4"/>
    <x v="1"/>
    <x v="1"/>
    <n v="5"/>
    <n v="200"/>
    <x v="7"/>
  </r>
  <r>
    <x v="38"/>
    <x v="4"/>
    <x v="3"/>
    <x v="6"/>
    <n v="5"/>
    <n v="200"/>
    <x v="7"/>
  </r>
  <r>
    <x v="39"/>
    <x v="0"/>
    <x v="1"/>
    <x v="3"/>
    <n v="5"/>
    <n v="200"/>
    <x v="7"/>
  </r>
  <r>
    <x v="11"/>
    <x v="5"/>
    <x v="0"/>
    <x v="4"/>
    <n v="5"/>
    <n v="200"/>
    <x v="7"/>
  </r>
  <r>
    <x v="40"/>
    <x v="4"/>
    <x v="3"/>
    <x v="4"/>
    <n v="5"/>
    <n v="200"/>
    <x v="7"/>
  </r>
  <r>
    <x v="11"/>
    <x v="2"/>
    <x v="3"/>
    <x v="4"/>
    <n v="5"/>
    <n v="200"/>
    <x v="7"/>
  </r>
  <r>
    <x v="32"/>
    <x v="1"/>
    <x v="3"/>
    <x v="6"/>
    <n v="5"/>
    <n v="200"/>
    <x v="7"/>
  </r>
  <r>
    <x v="37"/>
    <x v="1"/>
    <x v="2"/>
    <x v="7"/>
    <n v="5"/>
    <n v="200"/>
    <x v="7"/>
  </r>
  <r>
    <x v="41"/>
    <x v="5"/>
    <x v="1"/>
    <x v="3"/>
    <n v="4"/>
    <n v="200"/>
    <x v="8"/>
  </r>
  <r>
    <x v="21"/>
    <x v="5"/>
    <x v="0"/>
    <x v="0"/>
    <n v="1"/>
    <n v="800"/>
    <x v="8"/>
  </r>
  <r>
    <x v="42"/>
    <x v="4"/>
    <x v="1"/>
    <x v="2"/>
    <n v="1"/>
    <n v="800"/>
    <x v="8"/>
  </r>
  <r>
    <x v="19"/>
    <x v="0"/>
    <x v="2"/>
    <x v="4"/>
    <n v="4"/>
    <n v="200"/>
    <x v="8"/>
  </r>
  <r>
    <x v="43"/>
    <x v="3"/>
    <x v="2"/>
    <x v="7"/>
    <n v="4"/>
    <n v="200"/>
    <x v="8"/>
  </r>
  <r>
    <x v="30"/>
    <x v="2"/>
    <x v="2"/>
    <x v="3"/>
    <n v="4"/>
    <n v="200"/>
    <x v="8"/>
  </r>
  <r>
    <x v="44"/>
    <x v="3"/>
    <x v="2"/>
    <x v="2"/>
    <n v="1"/>
    <n v="800"/>
    <x v="8"/>
  </r>
  <r>
    <x v="45"/>
    <x v="2"/>
    <x v="1"/>
    <x v="0"/>
    <n v="1"/>
    <n v="800"/>
    <x v="8"/>
  </r>
  <r>
    <x v="0"/>
    <x v="3"/>
    <x v="2"/>
    <x v="5"/>
    <n v="1"/>
    <n v="800"/>
    <x v="8"/>
  </r>
  <r>
    <x v="46"/>
    <x v="1"/>
    <x v="3"/>
    <x v="2"/>
    <n v="4"/>
    <n v="200"/>
    <x v="8"/>
  </r>
  <r>
    <x v="22"/>
    <x v="0"/>
    <x v="3"/>
    <x v="4"/>
    <n v="4"/>
    <n v="200"/>
    <x v="8"/>
  </r>
  <r>
    <x v="26"/>
    <x v="3"/>
    <x v="2"/>
    <x v="4"/>
    <n v="2"/>
    <n v="350"/>
    <x v="9"/>
  </r>
  <r>
    <x v="47"/>
    <x v="2"/>
    <x v="2"/>
    <x v="7"/>
    <n v="2"/>
    <n v="350"/>
    <x v="9"/>
  </r>
  <r>
    <x v="7"/>
    <x v="5"/>
    <x v="1"/>
    <x v="4"/>
    <n v="2"/>
    <n v="350"/>
    <x v="9"/>
  </r>
  <r>
    <x v="25"/>
    <x v="1"/>
    <x v="3"/>
    <x v="7"/>
    <n v="2"/>
    <n v="350"/>
    <x v="9"/>
  </r>
  <r>
    <x v="31"/>
    <x v="2"/>
    <x v="3"/>
    <x v="4"/>
    <n v="2"/>
    <n v="350"/>
    <x v="9"/>
  </r>
  <r>
    <x v="34"/>
    <x v="5"/>
    <x v="1"/>
    <x v="7"/>
    <n v="5"/>
    <n v="120"/>
    <x v="10"/>
  </r>
  <r>
    <x v="13"/>
    <x v="5"/>
    <x v="1"/>
    <x v="5"/>
    <n v="3"/>
    <n v="200"/>
    <x v="10"/>
  </r>
  <r>
    <x v="14"/>
    <x v="5"/>
    <x v="3"/>
    <x v="1"/>
    <n v="3"/>
    <n v="200"/>
    <x v="10"/>
  </r>
  <r>
    <x v="43"/>
    <x v="2"/>
    <x v="3"/>
    <x v="7"/>
    <n v="5"/>
    <n v="120"/>
    <x v="10"/>
  </r>
  <r>
    <x v="1"/>
    <x v="0"/>
    <x v="2"/>
    <x v="1"/>
    <n v="5"/>
    <n v="120"/>
    <x v="10"/>
  </r>
  <r>
    <x v="23"/>
    <x v="0"/>
    <x v="2"/>
    <x v="4"/>
    <n v="5"/>
    <n v="120"/>
    <x v="10"/>
  </r>
  <r>
    <x v="10"/>
    <x v="4"/>
    <x v="1"/>
    <x v="4"/>
    <n v="3"/>
    <n v="200"/>
    <x v="10"/>
  </r>
  <r>
    <x v="42"/>
    <x v="4"/>
    <x v="1"/>
    <x v="2"/>
    <n v="3"/>
    <n v="200"/>
    <x v="10"/>
  </r>
  <r>
    <x v="10"/>
    <x v="0"/>
    <x v="1"/>
    <x v="1"/>
    <n v="5"/>
    <n v="120"/>
    <x v="10"/>
  </r>
  <r>
    <x v="30"/>
    <x v="1"/>
    <x v="0"/>
    <x v="5"/>
    <n v="5"/>
    <n v="120"/>
    <x v="10"/>
  </r>
  <r>
    <x v="13"/>
    <x v="2"/>
    <x v="1"/>
    <x v="6"/>
    <n v="5"/>
    <n v="120"/>
    <x v="10"/>
  </r>
  <r>
    <x v="48"/>
    <x v="4"/>
    <x v="2"/>
    <x v="5"/>
    <n v="5"/>
    <n v="120"/>
    <x v="10"/>
  </r>
  <r>
    <x v="48"/>
    <x v="5"/>
    <x v="1"/>
    <x v="7"/>
    <n v="4"/>
    <n v="120"/>
    <x v="11"/>
  </r>
  <r>
    <x v="24"/>
    <x v="0"/>
    <x v="2"/>
    <x v="1"/>
    <n v="4"/>
    <n v="120"/>
    <x v="11"/>
  </r>
  <r>
    <x v="16"/>
    <x v="0"/>
    <x v="3"/>
    <x v="4"/>
    <n v="4"/>
    <n v="120"/>
    <x v="11"/>
  </r>
  <r>
    <x v="2"/>
    <x v="4"/>
    <x v="1"/>
    <x v="7"/>
    <n v="4"/>
    <n v="120"/>
    <x v="11"/>
  </r>
  <r>
    <x v="34"/>
    <x v="3"/>
    <x v="1"/>
    <x v="5"/>
    <n v="4"/>
    <n v="120"/>
    <x v="11"/>
  </r>
  <r>
    <x v="18"/>
    <x v="1"/>
    <x v="3"/>
    <x v="2"/>
    <n v="2"/>
    <n v="200"/>
    <x v="12"/>
  </r>
  <r>
    <x v="11"/>
    <x v="4"/>
    <x v="0"/>
    <x v="5"/>
    <n v="2"/>
    <n v="200"/>
    <x v="12"/>
  </r>
  <r>
    <x v="35"/>
    <x v="4"/>
    <x v="1"/>
    <x v="4"/>
    <n v="2"/>
    <n v="200"/>
    <x v="12"/>
  </r>
  <r>
    <x v="13"/>
    <x v="4"/>
    <x v="3"/>
    <x v="2"/>
    <n v="2"/>
    <n v="200"/>
    <x v="12"/>
  </r>
  <r>
    <x v="23"/>
    <x v="1"/>
    <x v="2"/>
    <x v="1"/>
    <n v="2"/>
    <n v="200"/>
    <x v="12"/>
  </r>
  <r>
    <x v="26"/>
    <x v="1"/>
    <x v="2"/>
    <x v="0"/>
    <n v="2"/>
    <n v="200"/>
    <x v="12"/>
  </r>
  <r>
    <x v="49"/>
    <x v="3"/>
    <x v="2"/>
    <x v="3"/>
    <n v="3"/>
    <n v="120"/>
    <x v="13"/>
  </r>
  <r>
    <x v="7"/>
    <x v="5"/>
    <x v="0"/>
    <x v="3"/>
    <n v="3"/>
    <n v="120"/>
    <x v="13"/>
  </r>
  <r>
    <x v="39"/>
    <x v="4"/>
    <x v="0"/>
    <x v="2"/>
    <n v="1"/>
    <n v="350"/>
    <x v="14"/>
  </r>
  <r>
    <x v="35"/>
    <x v="5"/>
    <x v="3"/>
    <x v="3"/>
    <n v="1"/>
    <n v="350"/>
    <x v="14"/>
  </r>
  <r>
    <x v="23"/>
    <x v="4"/>
    <x v="3"/>
    <x v="1"/>
    <n v="1"/>
    <n v="350"/>
    <x v="14"/>
  </r>
  <r>
    <x v="31"/>
    <x v="4"/>
    <x v="1"/>
    <x v="3"/>
    <n v="1"/>
    <n v="350"/>
    <x v="14"/>
  </r>
  <r>
    <x v="11"/>
    <x v="2"/>
    <x v="1"/>
    <x v="3"/>
    <n v="1"/>
    <n v="350"/>
    <x v="14"/>
  </r>
  <r>
    <x v="24"/>
    <x v="3"/>
    <x v="2"/>
    <x v="1"/>
    <n v="1"/>
    <n v="350"/>
    <x v="14"/>
  </r>
  <r>
    <x v="34"/>
    <x v="5"/>
    <x v="0"/>
    <x v="0"/>
    <n v="1"/>
    <n v="350"/>
    <x v="14"/>
  </r>
  <r>
    <x v="0"/>
    <x v="4"/>
    <x v="0"/>
    <x v="6"/>
    <n v="1"/>
    <n v="350"/>
    <x v="14"/>
  </r>
  <r>
    <x v="22"/>
    <x v="4"/>
    <x v="3"/>
    <x v="2"/>
    <n v="1"/>
    <n v="350"/>
    <x v="14"/>
  </r>
  <r>
    <x v="50"/>
    <x v="4"/>
    <x v="1"/>
    <x v="2"/>
    <n v="2"/>
    <n v="120"/>
    <x v="15"/>
  </r>
  <r>
    <x v="8"/>
    <x v="3"/>
    <x v="0"/>
    <x v="7"/>
    <n v="2"/>
    <n v="120"/>
    <x v="15"/>
  </r>
  <r>
    <x v="4"/>
    <x v="5"/>
    <x v="2"/>
    <x v="4"/>
    <n v="2"/>
    <n v="120"/>
    <x v="15"/>
  </r>
  <r>
    <x v="12"/>
    <x v="3"/>
    <x v="0"/>
    <x v="1"/>
    <n v="2"/>
    <n v="120"/>
    <x v="15"/>
  </r>
  <r>
    <x v="8"/>
    <x v="0"/>
    <x v="0"/>
    <x v="0"/>
    <n v="2"/>
    <n v="120"/>
    <x v="15"/>
  </r>
  <r>
    <x v="38"/>
    <x v="3"/>
    <x v="3"/>
    <x v="2"/>
    <n v="2"/>
    <n v="120"/>
    <x v="15"/>
  </r>
  <r>
    <x v="21"/>
    <x v="4"/>
    <x v="3"/>
    <x v="2"/>
    <n v="1"/>
    <n v="200"/>
    <x v="16"/>
  </r>
  <r>
    <x v="43"/>
    <x v="0"/>
    <x v="2"/>
    <x v="6"/>
    <n v="1"/>
    <n v="200"/>
    <x v="16"/>
  </r>
  <r>
    <x v="23"/>
    <x v="0"/>
    <x v="1"/>
    <x v="7"/>
    <n v="1"/>
    <n v="200"/>
    <x v="16"/>
  </r>
  <r>
    <x v="24"/>
    <x v="1"/>
    <x v="3"/>
    <x v="1"/>
    <n v="1"/>
    <n v="200"/>
    <x v="16"/>
  </r>
  <r>
    <x v="47"/>
    <x v="4"/>
    <x v="3"/>
    <x v="5"/>
    <n v="1"/>
    <n v="200"/>
    <x v="16"/>
  </r>
  <r>
    <x v="51"/>
    <x v="4"/>
    <x v="3"/>
    <x v="1"/>
    <n v="1"/>
    <n v="120"/>
    <x v="17"/>
  </r>
  <r>
    <x v="16"/>
    <x v="5"/>
    <x v="0"/>
    <x v="1"/>
    <n v="1"/>
    <n v="120"/>
    <x v="17"/>
  </r>
  <r>
    <x v="33"/>
    <x v="5"/>
    <x v="0"/>
    <x v="6"/>
    <n v="1"/>
    <n v="120"/>
    <x v="17"/>
  </r>
  <r>
    <x v="33"/>
    <x v="1"/>
    <x v="3"/>
    <x v="6"/>
    <n v="1"/>
    <n v="120"/>
    <x v="17"/>
  </r>
  <r>
    <x v="0"/>
    <x v="3"/>
    <x v="3"/>
    <x v="3"/>
    <n v="1"/>
    <n v="120"/>
    <x v="17"/>
  </r>
  <r>
    <x v="25"/>
    <x v="1"/>
    <x v="0"/>
    <x v="0"/>
    <n v="1"/>
    <n v="120"/>
    <x v="17"/>
  </r>
  <r>
    <x v="30"/>
    <x v="2"/>
    <x v="2"/>
    <x v="0"/>
    <n v="1"/>
    <n v="120"/>
    <x v="17"/>
  </r>
  <r>
    <x v="31"/>
    <x v="5"/>
    <x v="1"/>
    <x v="4"/>
    <n v="5"/>
    <n v="20"/>
    <x v="18"/>
  </r>
  <r>
    <x v="4"/>
    <x v="2"/>
    <x v="1"/>
    <x v="3"/>
    <n v="5"/>
    <n v="20"/>
    <x v="18"/>
  </r>
  <r>
    <x v="35"/>
    <x v="5"/>
    <x v="3"/>
    <x v="2"/>
    <n v="5"/>
    <n v="20"/>
    <x v="18"/>
  </r>
  <r>
    <x v="49"/>
    <x v="3"/>
    <x v="0"/>
    <x v="5"/>
    <n v="5"/>
    <n v="20"/>
    <x v="18"/>
  </r>
  <r>
    <x v="39"/>
    <x v="5"/>
    <x v="0"/>
    <x v="6"/>
    <n v="5"/>
    <n v="20"/>
    <x v="18"/>
  </r>
  <r>
    <x v="51"/>
    <x v="1"/>
    <x v="0"/>
    <x v="2"/>
    <n v="5"/>
    <n v="20"/>
    <x v="18"/>
  </r>
  <r>
    <x v="5"/>
    <x v="3"/>
    <x v="2"/>
    <x v="5"/>
    <n v="5"/>
    <n v="20"/>
    <x v="18"/>
  </r>
  <r>
    <x v="42"/>
    <x v="0"/>
    <x v="1"/>
    <x v="7"/>
    <n v="5"/>
    <n v="20"/>
    <x v="18"/>
  </r>
  <r>
    <x v="4"/>
    <x v="5"/>
    <x v="1"/>
    <x v="5"/>
    <n v="5"/>
    <n v="20"/>
    <x v="18"/>
  </r>
  <r>
    <x v="26"/>
    <x v="4"/>
    <x v="2"/>
    <x v="3"/>
    <n v="5"/>
    <n v="20"/>
    <x v="18"/>
  </r>
  <r>
    <x v="28"/>
    <x v="0"/>
    <x v="2"/>
    <x v="6"/>
    <n v="4"/>
    <n v="20"/>
    <x v="19"/>
  </r>
  <r>
    <x v="38"/>
    <x v="0"/>
    <x v="3"/>
    <x v="7"/>
    <n v="4"/>
    <n v="20"/>
    <x v="19"/>
  </r>
  <r>
    <x v="48"/>
    <x v="4"/>
    <x v="2"/>
    <x v="0"/>
    <n v="4"/>
    <n v="20"/>
    <x v="19"/>
  </r>
  <r>
    <x v="4"/>
    <x v="3"/>
    <x v="2"/>
    <x v="2"/>
    <n v="4"/>
    <n v="20"/>
    <x v="19"/>
  </r>
  <r>
    <x v="52"/>
    <x v="4"/>
    <x v="2"/>
    <x v="5"/>
    <n v="4"/>
    <n v="20"/>
    <x v="19"/>
  </r>
  <r>
    <x v="7"/>
    <x v="5"/>
    <x v="1"/>
    <x v="0"/>
    <n v="4"/>
    <n v="20"/>
    <x v="19"/>
  </r>
  <r>
    <x v="13"/>
    <x v="3"/>
    <x v="1"/>
    <x v="7"/>
    <n v="4"/>
    <n v="20"/>
    <x v="19"/>
  </r>
  <r>
    <x v="17"/>
    <x v="1"/>
    <x v="3"/>
    <x v="0"/>
    <n v="3"/>
    <n v="20"/>
    <x v="20"/>
  </r>
  <r>
    <x v="3"/>
    <x v="5"/>
    <x v="0"/>
    <x v="3"/>
    <n v="3"/>
    <n v="20"/>
    <x v="20"/>
  </r>
  <r>
    <x v="17"/>
    <x v="1"/>
    <x v="3"/>
    <x v="6"/>
    <n v="3"/>
    <n v="20"/>
    <x v="20"/>
  </r>
  <r>
    <x v="53"/>
    <x v="1"/>
    <x v="1"/>
    <x v="7"/>
    <n v="3"/>
    <n v="20"/>
    <x v="20"/>
  </r>
  <r>
    <x v="23"/>
    <x v="1"/>
    <x v="0"/>
    <x v="5"/>
    <n v="3"/>
    <n v="20"/>
    <x v="20"/>
  </r>
  <r>
    <x v="49"/>
    <x v="1"/>
    <x v="0"/>
    <x v="7"/>
    <n v="3"/>
    <n v="20"/>
    <x v="20"/>
  </r>
  <r>
    <x v="0"/>
    <x v="1"/>
    <x v="1"/>
    <x v="5"/>
    <n v="3"/>
    <n v="20"/>
    <x v="20"/>
  </r>
  <r>
    <x v="2"/>
    <x v="1"/>
    <x v="2"/>
    <x v="7"/>
    <n v="3"/>
    <n v="20"/>
    <x v="20"/>
  </r>
  <r>
    <x v="17"/>
    <x v="0"/>
    <x v="2"/>
    <x v="7"/>
    <n v="5"/>
    <n v="10"/>
    <x v="21"/>
  </r>
  <r>
    <x v="12"/>
    <x v="2"/>
    <x v="1"/>
    <x v="7"/>
    <n v="5"/>
    <n v="10"/>
    <x v="21"/>
  </r>
  <r>
    <x v="47"/>
    <x v="2"/>
    <x v="0"/>
    <x v="0"/>
    <n v="5"/>
    <n v="10"/>
    <x v="21"/>
  </r>
  <r>
    <x v="13"/>
    <x v="3"/>
    <x v="3"/>
    <x v="1"/>
    <n v="5"/>
    <n v="10"/>
    <x v="21"/>
  </r>
  <r>
    <x v="10"/>
    <x v="1"/>
    <x v="1"/>
    <x v="3"/>
    <n v="5"/>
    <n v="10"/>
    <x v="21"/>
  </r>
  <r>
    <x v="48"/>
    <x v="3"/>
    <x v="1"/>
    <x v="1"/>
    <n v="4"/>
    <n v="10"/>
    <x v="22"/>
  </r>
  <r>
    <x v="49"/>
    <x v="1"/>
    <x v="0"/>
    <x v="1"/>
    <n v="4"/>
    <n v="10"/>
    <x v="22"/>
  </r>
  <r>
    <x v="33"/>
    <x v="3"/>
    <x v="1"/>
    <x v="1"/>
    <n v="4"/>
    <n v="10"/>
    <x v="22"/>
  </r>
  <r>
    <x v="2"/>
    <x v="5"/>
    <x v="1"/>
    <x v="0"/>
    <n v="2"/>
    <n v="20"/>
    <x v="22"/>
  </r>
  <r>
    <x v="33"/>
    <x v="0"/>
    <x v="1"/>
    <x v="0"/>
    <n v="2"/>
    <n v="20"/>
    <x v="22"/>
  </r>
  <r>
    <x v="43"/>
    <x v="3"/>
    <x v="1"/>
    <x v="0"/>
    <n v="2"/>
    <n v="20"/>
    <x v="22"/>
  </r>
  <r>
    <x v="38"/>
    <x v="0"/>
    <x v="2"/>
    <x v="4"/>
    <n v="4"/>
    <n v="10"/>
    <x v="22"/>
  </r>
  <r>
    <x v="24"/>
    <x v="5"/>
    <x v="1"/>
    <x v="3"/>
    <n v="4"/>
    <n v="10"/>
    <x v="22"/>
  </r>
  <r>
    <x v="54"/>
    <x v="4"/>
    <x v="3"/>
    <x v="4"/>
    <n v="2"/>
    <n v="20"/>
    <x v="22"/>
  </r>
  <r>
    <x v="27"/>
    <x v="0"/>
    <x v="1"/>
    <x v="7"/>
    <n v="2"/>
    <n v="20"/>
    <x v="22"/>
  </r>
  <r>
    <x v="4"/>
    <x v="4"/>
    <x v="1"/>
    <x v="0"/>
    <n v="3"/>
    <n v="10"/>
    <x v="23"/>
  </r>
  <r>
    <x v="55"/>
    <x v="4"/>
    <x v="2"/>
    <x v="4"/>
    <n v="3"/>
    <n v="10"/>
    <x v="23"/>
  </r>
  <r>
    <x v="35"/>
    <x v="1"/>
    <x v="2"/>
    <x v="6"/>
    <n v="3"/>
    <n v="10"/>
    <x v="23"/>
  </r>
  <r>
    <x v="34"/>
    <x v="0"/>
    <x v="2"/>
    <x v="7"/>
    <n v="3"/>
    <n v="10"/>
    <x v="23"/>
  </r>
  <r>
    <x v="4"/>
    <x v="3"/>
    <x v="2"/>
    <x v="2"/>
    <n v="3"/>
    <n v="10"/>
    <x v="23"/>
  </r>
  <r>
    <x v="7"/>
    <x v="2"/>
    <x v="3"/>
    <x v="0"/>
    <n v="3"/>
    <n v="10"/>
    <x v="23"/>
  </r>
  <r>
    <x v="23"/>
    <x v="1"/>
    <x v="2"/>
    <x v="1"/>
    <n v="2"/>
    <n v="10"/>
    <x v="24"/>
  </r>
  <r>
    <x v="28"/>
    <x v="0"/>
    <x v="3"/>
    <x v="2"/>
    <n v="2"/>
    <n v="10"/>
    <x v="24"/>
  </r>
  <r>
    <x v="15"/>
    <x v="3"/>
    <x v="0"/>
    <x v="0"/>
    <n v="2"/>
    <n v="10"/>
    <x v="24"/>
  </r>
  <r>
    <x v="26"/>
    <x v="4"/>
    <x v="3"/>
    <x v="2"/>
    <n v="1"/>
    <n v="20"/>
    <x v="24"/>
  </r>
  <r>
    <x v="1"/>
    <x v="3"/>
    <x v="0"/>
    <x v="3"/>
    <n v="1"/>
    <n v="20"/>
    <x v="24"/>
  </r>
  <r>
    <x v="38"/>
    <x v="2"/>
    <x v="3"/>
    <x v="6"/>
    <n v="1"/>
    <n v="20"/>
    <x v="24"/>
  </r>
  <r>
    <x v="48"/>
    <x v="0"/>
    <x v="2"/>
    <x v="6"/>
    <n v="1"/>
    <n v="20"/>
    <x v="24"/>
  </r>
  <r>
    <x v="33"/>
    <x v="5"/>
    <x v="1"/>
    <x v="4"/>
    <n v="1"/>
    <n v="20"/>
    <x v="24"/>
  </r>
  <r>
    <x v="12"/>
    <x v="1"/>
    <x v="2"/>
    <x v="0"/>
    <n v="1"/>
    <n v="20"/>
    <x v="24"/>
  </r>
  <r>
    <x v="1"/>
    <x v="3"/>
    <x v="0"/>
    <x v="7"/>
    <n v="1"/>
    <n v="20"/>
    <x v="24"/>
  </r>
  <r>
    <x v="17"/>
    <x v="4"/>
    <x v="0"/>
    <x v="5"/>
    <n v="1"/>
    <n v="20"/>
    <x v="24"/>
  </r>
  <r>
    <x v="55"/>
    <x v="2"/>
    <x v="3"/>
    <x v="0"/>
    <n v="1"/>
    <n v="20"/>
    <x v="24"/>
  </r>
  <r>
    <x v="43"/>
    <x v="5"/>
    <x v="2"/>
    <x v="1"/>
    <n v="1"/>
    <n v="20"/>
    <x v="24"/>
  </r>
  <r>
    <x v="48"/>
    <x v="5"/>
    <x v="0"/>
    <x v="3"/>
    <n v="1"/>
    <n v="20"/>
    <x v="24"/>
  </r>
  <r>
    <x v="24"/>
    <x v="4"/>
    <x v="1"/>
    <x v="5"/>
    <n v="1"/>
    <n v="20"/>
    <x v="24"/>
  </r>
  <r>
    <x v="15"/>
    <x v="3"/>
    <x v="2"/>
    <x v="3"/>
    <n v="2"/>
    <n v="10"/>
    <x v="24"/>
  </r>
  <r>
    <x v="13"/>
    <x v="1"/>
    <x v="0"/>
    <x v="3"/>
    <n v="2"/>
    <n v="10"/>
    <x v="24"/>
  </r>
  <r>
    <x v="12"/>
    <x v="3"/>
    <x v="0"/>
    <x v="6"/>
    <n v="1"/>
    <n v="20"/>
    <x v="24"/>
  </r>
  <r>
    <x v="50"/>
    <x v="5"/>
    <x v="0"/>
    <x v="2"/>
    <n v="1"/>
    <n v="10"/>
    <x v="25"/>
  </r>
  <r>
    <x v="7"/>
    <x v="5"/>
    <x v="2"/>
    <x v="7"/>
    <n v="1"/>
    <n v="10"/>
    <x v="25"/>
  </r>
  <r>
    <x v="40"/>
    <x v="2"/>
    <x v="2"/>
    <x v="3"/>
    <n v="1"/>
    <n v="10"/>
    <x v="25"/>
  </r>
  <r>
    <x v="48"/>
    <x v="3"/>
    <x v="1"/>
    <x v="0"/>
    <n v="1"/>
    <n v="10"/>
    <x v="25"/>
  </r>
  <r>
    <x v="34"/>
    <x v="3"/>
    <x v="3"/>
    <x v="2"/>
    <n v="1"/>
    <n v="10"/>
    <x v="25"/>
  </r>
  <r>
    <x v="42"/>
    <x v="5"/>
    <x v="0"/>
    <x v="5"/>
    <n v="1"/>
    <n v="10"/>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Months">
  <location ref="B9:C13" firstHeaderRow="1" firstDataRow="1" firstDataCol="1"/>
  <pivotFields count="8">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4"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7"/>
    <field x="0"/>
  </rowFields>
  <rowItems count="4">
    <i>
      <x v="1"/>
    </i>
    <i>
      <x v="2"/>
    </i>
    <i>
      <x v="3"/>
    </i>
    <i t="grand">
      <x/>
    </i>
  </rowItems>
  <colItems count="1">
    <i/>
  </colItems>
  <dataFields count="1">
    <dataField name="Sum of Revenue" fld="6" baseField="0" baseItem="0" numFmtId="164"/>
  </dataFields>
  <formats count="24">
    <format dxfId="215">
      <pivotArea outline="0" collapsedLevelsAreSubtotals="1" fieldPosition="0"/>
    </format>
    <format dxfId="214">
      <pivotArea type="all" dataOnly="0" outline="0" fieldPosition="0"/>
    </format>
    <format dxfId="213">
      <pivotArea outline="0" collapsedLevelsAreSubtotals="1" fieldPosition="0"/>
    </format>
    <format dxfId="212">
      <pivotArea field="7" type="button" dataOnly="0" labelOnly="1" outline="0" axis="axisRow" fieldPosition="0"/>
    </format>
    <format dxfId="211">
      <pivotArea dataOnly="0" labelOnly="1" outline="0" axis="axisValues" fieldPosition="0"/>
    </format>
    <format dxfId="210">
      <pivotArea dataOnly="0" labelOnly="1" fieldPosition="0">
        <references count="1">
          <reference field="7" count="3">
            <x v="1"/>
            <x v="2"/>
            <x v="3"/>
          </reference>
        </references>
      </pivotArea>
    </format>
    <format dxfId="209">
      <pivotArea dataOnly="0" labelOnly="1" grandRow="1" outline="0" fieldPosition="0"/>
    </format>
    <format dxfId="208">
      <pivotArea dataOnly="0" labelOnly="1" outline="0" axis="axisValues" fieldPosition="0"/>
    </format>
    <format dxfId="207">
      <pivotArea collapsedLevelsAreSubtotals="1" fieldPosition="0">
        <references count="1">
          <reference field="7" count="1">
            <x v="1"/>
          </reference>
        </references>
      </pivotArea>
    </format>
    <format dxfId="206">
      <pivotArea collapsedLevelsAreSubtotals="1" fieldPosition="0">
        <references count="1">
          <reference field="7" count="1">
            <x v="2"/>
          </reference>
        </references>
      </pivotArea>
    </format>
    <format dxfId="205">
      <pivotArea collapsedLevelsAreSubtotals="1" fieldPosition="0">
        <references count="1">
          <reference field="7" count="1">
            <x v="3"/>
          </reference>
        </references>
      </pivotArea>
    </format>
    <format dxfId="204">
      <pivotArea dataOnly="0" labelOnly="1" fieldPosition="0">
        <references count="1">
          <reference field="7" count="3">
            <x v="1"/>
            <x v="2"/>
            <x v="3"/>
          </reference>
        </references>
      </pivotArea>
    </format>
    <format dxfId="203">
      <pivotArea collapsedLevelsAreSubtotals="1" fieldPosition="0">
        <references count="1">
          <reference field="7" count="1">
            <x v="1"/>
          </reference>
        </references>
      </pivotArea>
    </format>
    <format dxfId="202">
      <pivotArea collapsedLevelsAreSubtotals="1" fieldPosition="0">
        <references count="1">
          <reference field="7" count="1">
            <x v="2"/>
          </reference>
        </references>
      </pivotArea>
    </format>
    <format dxfId="201">
      <pivotArea collapsedLevelsAreSubtotals="1" fieldPosition="0">
        <references count="1">
          <reference field="7" count="1">
            <x v="3"/>
          </reference>
        </references>
      </pivotArea>
    </format>
    <format dxfId="200">
      <pivotArea dataOnly="0" labelOnly="1" fieldPosition="0">
        <references count="1">
          <reference field="7" count="3">
            <x v="1"/>
            <x v="2"/>
            <x v="3"/>
          </reference>
        </references>
      </pivotArea>
    </format>
    <format dxfId="199">
      <pivotArea collapsedLevelsAreSubtotals="1" fieldPosition="0">
        <references count="1">
          <reference field="7" count="1">
            <x v="1"/>
          </reference>
        </references>
      </pivotArea>
    </format>
    <format dxfId="198">
      <pivotArea collapsedLevelsAreSubtotals="1" fieldPosition="0">
        <references count="1">
          <reference field="7" count="1">
            <x v="2"/>
          </reference>
        </references>
      </pivotArea>
    </format>
    <format dxfId="197">
      <pivotArea collapsedLevelsAreSubtotals="1" fieldPosition="0">
        <references count="1">
          <reference field="7" count="1">
            <x v="3"/>
          </reference>
        </references>
      </pivotArea>
    </format>
    <format dxfId="196">
      <pivotArea dataOnly="0" labelOnly="1" fieldPosition="0">
        <references count="1">
          <reference field="7" count="3">
            <x v="1"/>
            <x v="2"/>
            <x v="3"/>
          </reference>
        </references>
      </pivotArea>
    </format>
    <format dxfId="195">
      <pivotArea collapsedLevelsAreSubtotals="1" fieldPosition="0">
        <references count="1">
          <reference field="7" count="1">
            <x v="1"/>
          </reference>
        </references>
      </pivotArea>
    </format>
    <format dxfId="194">
      <pivotArea collapsedLevelsAreSubtotals="1" fieldPosition="0">
        <references count="1">
          <reference field="7" count="1">
            <x v="2"/>
          </reference>
        </references>
      </pivotArea>
    </format>
    <format dxfId="193">
      <pivotArea collapsedLevelsAreSubtotals="1" fieldPosition="0">
        <references count="1">
          <reference field="7" count="1">
            <x v="3"/>
          </reference>
        </references>
      </pivotArea>
    </format>
    <format dxfId="192">
      <pivotArea dataOnly="0" labelOnly="1" fieldPosition="0">
        <references count="1">
          <reference field="7" count="3">
            <x v="1"/>
            <x v="2"/>
            <x v="3"/>
          </reference>
        </references>
      </pivotArea>
    </format>
  </format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Regions">
  <location ref="B2:C4"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sortType="descending">
      <items count="5">
        <item x="3"/>
        <item h="1" x="0"/>
        <item h="1" x="1"/>
        <item h="1"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numFmtId="164" showAll="0">
      <items count="27">
        <item h="1" x="25"/>
        <item h="1" x="24"/>
        <item h="1" x="23"/>
        <item x="22"/>
        <item h="1" x="21"/>
        <item h="1" x="20"/>
        <item h="1" x="19"/>
        <item h="1" x="18"/>
        <item h="1" x="17"/>
        <item h="1" x="16"/>
        <item h="1" x="15"/>
        <item h="1" x="14"/>
        <item h="1" x="13"/>
        <item h="1" x="12"/>
        <item h="1" x="11"/>
        <item h="1" x="10"/>
        <item h="1" x="9"/>
        <item h="1" x="8"/>
        <item h="1" x="7"/>
        <item h="1" x="6"/>
        <item h="1" x="5"/>
        <item h="1" x="4"/>
        <item h="1" x="3"/>
        <item h="1" x="2"/>
        <item h="1" x="1"/>
        <item h="1" x="0"/>
        <item t="default"/>
      </items>
    </pivotField>
    <pivotField showAll="0" defaultSubtotal="0">
      <items count="14">
        <item x="0"/>
        <item x="1"/>
        <item x="2"/>
        <item x="3"/>
        <item x="4"/>
        <item x="5"/>
        <item x="6"/>
        <item x="7"/>
        <item x="8"/>
        <item x="9"/>
        <item x="10"/>
        <item x="11"/>
        <item x="12"/>
        <item x="13"/>
      </items>
    </pivotField>
  </pivotFields>
  <rowFields count="1">
    <field x="2"/>
  </rowFields>
  <rowItems count="2">
    <i>
      <x/>
    </i>
    <i t="grand">
      <x/>
    </i>
  </rowItems>
  <colItems count="1">
    <i/>
  </colItems>
  <dataFields count="1">
    <dataField name="Sum of Revenue" fld="6" baseField="0" baseItem="0" numFmtId="164"/>
  </dataFields>
  <formats count="8">
    <format dxfId="223">
      <pivotArea outline="0" collapsedLevelsAreSubtotals="1" fieldPosition="0"/>
    </format>
    <format dxfId="222">
      <pivotArea type="all" dataOnly="0" outline="0" fieldPosition="0"/>
    </format>
    <format dxfId="221">
      <pivotArea outline="0" collapsedLevelsAreSubtotals="1" fieldPosition="0"/>
    </format>
    <format dxfId="220">
      <pivotArea field="2" type="button" dataOnly="0" labelOnly="1" outline="0" axis="axisRow" fieldPosition="0"/>
    </format>
    <format dxfId="219">
      <pivotArea dataOnly="0" labelOnly="1" outline="0" axis="axisValues" fieldPosition="0"/>
    </format>
    <format dxfId="218">
      <pivotArea dataOnly="0" labelOnly="1" fieldPosition="0">
        <references count="1">
          <reference field="2" count="0"/>
        </references>
      </pivotArea>
    </format>
    <format dxfId="217">
      <pivotArea dataOnly="0" labelOnly="1" grandRow="1" outline="0" fieldPosition="0"/>
    </format>
    <format dxfId="21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Products">
  <location ref="B26:C33"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7">
        <item x="4"/>
        <item x="1"/>
        <item x="0"/>
        <item x="5"/>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numFmtId="164" showAll="0"/>
    <pivotField showAll="0" defaultSubtotal="0">
      <items count="14">
        <item x="0"/>
        <item x="1"/>
        <item x="2"/>
        <item x="3"/>
        <item x="4"/>
        <item x="5"/>
        <item x="6"/>
        <item x="7"/>
        <item x="8"/>
        <item x="9"/>
        <item x="10"/>
        <item x="11"/>
        <item x="12"/>
        <item x="13"/>
      </items>
    </pivotField>
  </pivotFields>
  <rowFields count="1">
    <field x="1"/>
  </rowFields>
  <rowItems count="7">
    <i>
      <x v="2"/>
    </i>
    <i>
      <x v="5"/>
    </i>
    <i>
      <x v="3"/>
    </i>
    <i>
      <x v="1"/>
    </i>
    <i>
      <x v="4"/>
    </i>
    <i>
      <x/>
    </i>
    <i t="grand">
      <x/>
    </i>
  </rowItems>
  <colItems count="1">
    <i/>
  </colItems>
  <dataFields count="1">
    <dataField name="Sum of Revenue" fld="6" baseField="0" baseItem="0" numFmtId="164"/>
  </dataFields>
  <formats count="8">
    <format dxfId="231">
      <pivotArea outline="0" collapsedLevelsAreSubtotals="1" fieldPosition="0"/>
    </format>
    <format dxfId="230">
      <pivotArea type="all" dataOnly="0" outline="0" fieldPosition="0"/>
    </format>
    <format dxfId="229">
      <pivotArea outline="0" collapsedLevelsAreSubtotals="1" fieldPosition="0"/>
    </format>
    <format dxfId="228">
      <pivotArea field="1" type="button" dataOnly="0" labelOnly="1" outline="0" axis="axisRow" fieldPosition="0"/>
    </format>
    <format dxfId="227">
      <pivotArea dataOnly="0" labelOnly="1" outline="0" axis="axisValues" fieldPosition="0"/>
    </format>
    <format dxfId="226">
      <pivotArea dataOnly="0" labelOnly="1" fieldPosition="0">
        <references count="1">
          <reference field="1" count="0"/>
        </references>
      </pivotArea>
    </format>
    <format dxfId="225">
      <pivotArea dataOnly="0" labelOnly="1" grandRow="1" outline="0" fieldPosition="0"/>
    </format>
    <format dxfId="224">
      <pivotArea dataOnly="0" labelOnly="1" outline="0" axis="axisValues" fieldPosition="0"/>
    </format>
  </formats>
  <chartFormats count="7">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1" count="1" selected="0">
            <x v="2"/>
          </reference>
        </references>
      </pivotArea>
    </chartFormat>
    <chartFormat chart="2" format="16">
      <pivotArea type="data" outline="0" fieldPosition="0">
        <references count="2">
          <reference field="4294967294" count="1" selected="0">
            <x v="0"/>
          </reference>
          <reference field="1" count="1" selected="0">
            <x v="5"/>
          </reference>
        </references>
      </pivotArea>
    </chartFormat>
    <chartFormat chart="2" format="17">
      <pivotArea type="data" outline="0" fieldPosition="0">
        <references count="2">
          <reference field="4294967294" count="1" selected="0">
            <x v="0"/>
          </reference>
          <reference field="1" count="1" selected="0">
            <x v="3"/>
          </reference>
        </references>
      </pivotArea>
    </chartFormat>
    <chartFormat chart="2" format="18">
      <pivotArea type="data" outline="0" fieldPosition="0">
        <references count="2">
          <reference field="4294967294" count="1" selected="0">
            <x v="0"/>
          </reference>
          <reference field="1" count="1" selected="0">
            <x v="1"/>
          </reference>
        </references>
      </pivotArea>
    </chartFormat>
    <chartFormat chart="2" format="19">
      <pivotArea type="data" outline="0" fieldPosition="0">
        <references count="2">
          <reference field="4294967294" count="1" selected="0">
            <x v="0"/>
          </reference>
          <reference field="1" count="1" selected="0">
            <x v="4"/>
          </reference>
        </references>
      </pivotArea>
    </chartFormat>
    <chartFormat chart="2" format="20">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Customers">
  <location ref="B15:C24"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sortType="descending">
      <items count="9">
        <item x="6"/>
        <item x="7"/>
        <item x="2"/>
        <item x="1"/>
        <item x="4"/>
        <item x="5"/>
        <item x="0"/>
        <item x="3"/>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showAll="0" defaultSubtotal="0">
      <items count="14">
        <item x="0"/>
        <item x="1"/>
        <item x="2"/>
        <item x="3"/>
        <item x="4"/>
        <item x="5"/>
        <item x="6"/>
        <item x="7"/>
        <item x="8"/>
        <item x="9"/>
        <item x="10"/>
        <item x="11"/>
        <item x="12"/>
        <item x="13"/>
      </items>
    </pivotField>
  </pivotFields>
  <rowFields count="1">
    <field x="3"/>
  </rowFields>
  <rowItems count="9">
    <i>
      <x v="3"/>
    </i>
    <i>
      <x v="2"/>
    </i>
    <i>
      <x v="4"/>
    </i>
    <i>
      <x v="5"/>
    </i>
    <i>
      <x v="6"/>
    </i>
    <i>
      <x v="1"/>
    </i>
    <i>
      <x/>
    </i>
    <i>
      <x v="7"/>
    </i>
    <i t="grand">
      <x/>
    </i>
  </rowItems>
  <colItems count="1">
    <i/>
  </colItems>
  <dataFields count="1">
    <dataField name="Sum of Revenue" fld="6" baseField="0" baseItem="0" numFmtId="164"/>
  </dataFields>
  <formats count="8">
    <format dxfId="239">
      <pivotArea outline="0" collapsedLevelsAreSubtotals="1" fieldPosition="0"/>
    </format>
    <format dxfId="238">
      <pivotArea type="all" dataOnly="0" outline="0" fieldPosition="0"/>
    </format>
    <format dxfId="237">
      <pivotArea outline="0" collapsedLevelsAreSubtotals="1" fieldPosition="0"/>
    </format>
    <format dxfId="236">
      <pivotArea field="3" type="button" dataOnly="0" labelOnly="1" outline="0" axis="axisRow" fieldPosition="0"/>
    </format>
    <format dxfId="235">
      <pivotArea dataOnly="0" labelOnly="1" outline="0" axis="axisValues" fieldPosition="0"/>
    </format>
    <format dxfId="234">
      <pivotArea dataOnly="0" labelOnly="1" fieldPosition="0">
        <references count="1">
          <reference field="3" count="5">
            <x v="2"/>
            <x v="3"/>
            <x v="4"/>
            <x v="5"/>
            <x v="6"/>
          </reference>
        </references>
      </pivotArea>
    </format>
    <format dxfId="233">
      <pivotArea dataOnly="0" labelOnly="1" grandRow="1" outline="0" fieldPosition="0"/>
    </format>
    <format dxfId="23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8" name="PivotTable6"/>
  </pivotTables>
  <data>
    <tabular pivotCacheId="1">
      <items count="14">
        <i x="1" s="1"/>
        <i x="2" s="1"/>
        <i x="3" s="1"/>
        <i x="4" s="1" nd="1"/>
        <i x="5" s="1" nd="1"/>
        <i x="6" s="1" nd="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8" name="PivotTable7"/>
  </pivotTables>
  <data>
    <tabular pivotCacheId="1">
      <items count="4">
        <i x="3" s="1"/>
        <i x="0"/>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8" name="PivotTable9"/>
  </pivotTables>
  <data>
    <tabular pivotCacheId="1">
      <items count="6">
        <i x="4" s="1"/>
        <i x="1" s="1"/>
        <i x="0" s="1"/>
        <i x="5"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ustomer" sourceName="Customer">
  <pivotTables>
    <pivotTable tabId="8" name="PivotTable8"/>
  </pivotTables>
  <data>
    <tabular pivotCacheId="1">
      <items count="8">
        <i x="6" s="1"/>
        <i x="7" s="1"/>
        <i x="2" s="1"/>
        <i x="1" s="1"/>
        <i x="4" s="1"/>
        <i x="5"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 caption="Months" rowHeight="241300"/>
  <slicer name="Region" cache="Slicer_Region" caption="Region" rowHeight="241300"/>
  <slicer name="Product" cache="Slicer_Product" caption="Product" rowHeight="241300"/>
  <slicer name="Customer" cache="Slicer_Customer" caption="Customer" rowHeight="241300"/>
</slicers>
</file>

<file path=xl/tables/table1.xml><?xml version="1.0" encoding="utf-8"?>
<table xmlns="http://schemas.openxmlformats.org/spreadsheetml/2006/main" id="1" name="SalesTable" displayName="SalesTable" ref="A1:G201" totalsRowShown="0" headerRowDxfId="251" dataDxfId="249" headerRowBorderDxfId="250" tableBorderDxfId="248" totalsRowBorderDxfId="247">
  <autoFilter ref="A1:G201"/>
  <tableColumns count="7">
    <tableColumn id="1" name="Date" dataDxfId="246"/>
    <tableColumn id="2" name="Product" dataDxfId="245"/>
    <tableColumn id="3" name="Region" dataDxfId="244"/>
    <tableColumn id="4" name="Customer" dataDxfId="243"/>
    <tableColumn id="5" name="Quantity" dataDxfId="242"/>
    <tableColumn id="6" name="UnitPrice" dataDxfId="241"/>
    <tableColumn id="7" name="Revenue" dataDxfId="24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1"/>
  <sheetViews>
    <sheetView tabSelected="1" topLeftCell="A16" zoomScale="70" zoomScaleNormal="70" workbookViewId="0">
      <selection activeCell="J16" sqref="J16"/>
    </sheetView>
  </sheetViews>
  <sheetFormatPr defaultRowHeight="15" x14ac:dyDescent="0.25"/>
  <cols>
    <col min="1" max="1" width="13.5703125" style="1" bestFit="1" customWidth="1"/>
    <col min="2" max="2" width="12.42578125" bestFit="1" customWidth="1"/>
    <col min="3" max="3" width="11.7109375" bestFit="1" customWidth="1"/>
    <col min="4" max="4" width="14.140625" bestFit="1" customWidth="1"/>
    <col min="5" max="5" width="13.28515625" bestFit="1" customWidth="1"/>
    <col min="6" max="6" width="13.85546875" style="2" bestFit="1" customWidth="1"/>
    <col min="7" max="7" width="13.42578125" style="2" bestFit="1" customWidth="1"/>
  </cols>
  <sheetData>
    <row r="1" spans="1:7" x14ac:dyDescent="0.25">
      <c r="A1" s="9" t="s">
        <v>0</v>
      </c>
      <c r="B1" s="10" t="s">
        <v>1</v>
      </c>
      <c r="C1" s="10" t="s">
        <v>2</v>
      </c>
      <c r="D1" s="10" t="s">
        <v>3</v>
      </c>
      <c r="E1" s="10" t="s">
        <v>4</v>
      </c>
      <c r="F1" s="11" t="s">
        <v>5</v>
      </c>
      <c r="G1" s="12" t="s">
        <v>6</v>
      </c>
    </row>
    <row r="2" spans="1:7" x14ac:dyDescent="0.25">
      <c r="A2" s="7">
        <v>45702</v>
      </c>
      <c r="B2" s="3" t="s">
        <v>10</v>
      </c>
      <c r="C2" s="3" t="s">
        <v>13</v>
      </c>
      <c r="D2" s="3" t="s">
        <v>17</v>
      </c>
      <c r="E2" s="3">
        <v>5</v>
      </c>
      <c r="F2" s="4">
        <v>800</v>
      </c>
      <c r="G2" s="8">
        <v>4000</v>
      </c>
    </row>
    <row r="3" spans="1:7" x14ac:dyDescent="0.25">
      <c r="A3" s="7">
        <v>45706</v>
      </c>
      <c r="B3" s="3" t="s">
        <v>8</v>
      </c>
      <c r="C3" s="3" t="s">
        <v>16</v>
      </c>
      <c r="D3" s="3" t="s">
        <v>19</v>
      </c>
      <c r="E3" s="3">
        <v>5</v>
      </c>
      <c r="F3" s="4">
        <v>800</v>
      </c>
      <c r="G3" s="8">
        <v>4000</v>
      </c>
    </row>
    <row r="4" spans="1:7" x14ac:dyDescent="0.25">
      <c r="A4" s="7">
        <v>45709</v>
      </c>
      <c r="B4" s="3" t="s">
        <v>12</v>
      </c>
      <c r="C4" s="3" t="s">
        <v>13</v>
      </c>
      <c r="D4" s="3" t="s">
        <v>19</v>
      </c>
      <c r="E4" s="3">
        <v>5</v>
      </c>
      <c r="F4" s="4">
        <v>800</v>
      </c>
      <c r="G4" s="8">
        <v>4000</v>
      </c>
    </row>
    <row r="5" spans="1:7" x14ac:dyDescent="0.25">
      <c r="A5" s="7">
        <v>45686</v>
      </c>
      <c r="B5" s="3" t="s">
        <v>9</v>
      </c>
      <c r="C5" s="3" t="s">
        <v>16</v>
      </c>
      <c r="D5" s="3" t="s">
        <v>21</v>
      </c>
      <c r="E5" s="3">
        <v>5</v>
      </c>
      <c r="F5" s="4">
        <v>800</v>
      </c>
      <c r="G5" s="8">
        <v>4000</v>
      </c>
    </row>
    <row r="6" spans="1:7" x14ac:dyDescent="0.25">
      <c r="A6" s="7">
        <v>45717</v>
      </c>
      <c r="B6" s="3" t="s">
        <v>8</v>
      </c>
      <c r="C6" s="3" t="s">
        <v>15</v>
      </c>
      <c r="D6" s="3" t="s">
        <v>19</v>
      </c>
      <c r="E6" s="3">
        <v>5</v>
      </c>
      <c r="F6" s="4">
        <v>800</v>
      </c>
      <c r="G6" s="8">
        <v>4000</v>
      </c>
    </row>
    <row r="7" spans="1:7" x14ac:dyDescent="0.25">
      <c r="A7" s="7">
        <v>45704</v>
      </c>
      <c r="B7" s="3" t="s">
        <v>11</v>
      </c>
      <c r="C7" s="3" t="s">
        <v>14</v>
      </c>
      <c r="D7" s="3" t="s">
        <v>17</v>
      </c>
      <c r="E7" s="3">
        <v>5</v>
      </c>
      <c r="F7" s="4">
        <v>800</v>
      </c>
      <c r="G7" s="8">
        <v>4000</v>
      </c>
    </row>
    <row r="8" spans="1:7" x14ac:dyDescent="0.25">
      <c r="A8" s="7">
        <v>45660</v>
      </c>
      <c r="B8" s="3" t="s">
        <v>12</v>
      </c>
      <c r="C8" s="3" t="s">
        <v>15</v>
      </c>
      <c r="D8" s="3" t="s">
        <v>18</v>
      </c>
      <c r="E8" s="3">
        <v>4</v>
      </c>
      <c r="F8" s="4">
        <v>800</v>
      </c>
      <c r="G8" s="8">
        <v>3200</v>
      </c>
    </row>
    <row r="9" spans="1:7" x14ac:dyDescent="0.25">
      <c r="A9" s="7">
        <v>45664</v>
      </c>
      <c r="B9" s="3" t="s">
        <v>10</v>
      </c>
      <c r="C9" s="3" t="s">
        <v>15</v>
      </c>
      <c r="D9" s="3" t="s">
        <v>23</v>
      </c>
      <c r="E9" s="3">
        <v>4</v>
      </c>
      <c r="F9" s="4">
        <v>800</v>
      </c>
      <c r="G9" s="8">
        <v>3200</v>
      </c>
    </row>
    <row r="10" spans="1:7" x14ac:dyDescent="0.25">
      <c r="A10" s="7">
        <v>45696</v>
      </c>
      <c r="B10" s="3" t="s">
        <v>11</v>
      </c>
      <c r="C10" s="3" t="s">
        <v>15</v>
      </c>
      <c r="D10" s="3" t="s">
        <v>23</v>
      </c>
      <c r="E10" s="3">
        <v>4</v>
      </c>
      <c r="F10" s="4">
        <v>800</v>
      </c>
      <c r="G10" s="8">
        <v>3200</v>
      </c>
    </row>
    <row r="11" spans="1:7" x14ac:dyDescent="0.25">
      <c r="A11" s="7">
        <v>45687</v>
      </c>
      <c r="B11" s="3" t="s">
        <v>10</v>
      </c>
      <c r="C11" s="3" t="s">
        <v>13</v>
      </c>
      <c r="D11" s="3" t="s">
        <v>24</v>
      </c>
      <c r="E11" s="3">
        <v>4</v>
      </c>
      <c r="F11" s="4">
        <v>800</v>
      </c>
      <c r="G11" s="8">
        <v>3200</v>
      </c>
    </row>
    <row r="12" spans="1:7" x14ac:dyDescent="0.25">
      <c r="A12" s="7">
        <v>45669</v>
      </c>
      <c r="B12" s="3" t="s">
        <v>9</v>
      </c>
      <c r="C12" s="3" t="s">
        <v>13</v>
      </c>
      <c r="D12" s="3" t="s">
        <v>21</v>
      </c>
      <c r="E12" s="3">
        <v>4</v>
      </c>
      <c r="F12" s="4">
        <v>800</v>
      </c>
      <c r="G12" s="8">
        <v>3200</v>
      </c>
    </row>
    <row r="13" spans="1:7" x14ac:dyDescent="0.25">
      <c r="A13" s="7">
        <v>45715</v>
      </c>
      <c r="B13" s="3" t="s">
        <v>9</v>
      </c>
      <c r="C13" s="3" t="s">
        <v>13</v>
      </c>
      <c r="D13" s="3" t="s">
        <v>21</v>
      </c>
      <c r="E13" s="3">
        <v>4</v>
      </c>
      <c r="F13" s="4">
        <v>800</v>
      </c>
      <c r="G13" s="8">
        <v>3200</v>
      </c>
    </row>
    <row r="14" spans="1:7" x14ac:dyDescent="0.25">
      <c r="A14" s="7">
        <v>45658</v>
      </c>
      <c r="B14" s="3" t="s">
        <v>9</v>
      </c>
      <c r="C14" s="3" t="s">
        <v>15</v>
      </c>
      <c r="D14" s="3" t="s">
        <v>17</v>
      </c>
      <c r="E14" s="3">
        <v>4</v>
      </c>
      <c r="F14" s="4">
        <v>800</v>
      </c>
      <c r="G14" s="8">
        <v>3200</v>
      </c>
    </row>
    <row r="15" spans="1:7" x14ac:dyDescent="0.25">
      <c r="A15" s="7">
        <v>45701</v>
      </c>
      <c r="B15" s="3" t="s">
        <v>10</v>
      </c>
      <c r="C15" s="3" t="s">
        <v>13</v>
      </c>
      <c r="D15" s="3" t="s">
        <v>23</v>
      </c>
      <c r="E15" s="3">
        <v>4</v>
      </c>
      <c r="F15" s="4">
        <v>800</v>
      </c>
      <c r="G15" s="8">
        <v>3200</v>
      </c>
    </row>
    <row r="16" spans="1:7" x14ac:dyDescent="0.25">
      <c r="A16" s="7">
        <v>45677</v>
      </c>
      <c r="B16" s="3" t="s">
        <v>10</v>
      </c>
      <c r="C16" s="3" t="s">
        <v>15</v>
      </c>
      <c r="D16" s="3" t="s">
        <v>22</v>
      </c>
      <c r="E16" s="3">
        <v>4</v>
      </c>
      <c r="F16" s="4">
        <v>800</v>
      </c>
      <c r="G16" s="8">
        <v>3200</v>
      </c>
    </row>
    <row r="17" spans="1:7" x14ac:dyDescent="0.25">
      <c r="A17" s="7">
        <v>45708</v>
      </c>
      <c r="B17" s="3" t="s">
        <v>10</v>
      </c>
      <c r="C17" s="3" t="s">
        <v>15</v>
      </c>
      <c r="D17" s="3" t="s">
        <v>21</v>
      </c>
      <c r="E17" s="3">
        <v>3</v>
      </c>
      <c r="F17" s="4">
        <v>800</v>
      </c>
      <c r="G17" s="8">
        <v>2400</v>
      </c>
    </row>
    <row r="18" spans="1:7" x14ac:dyDescent="0.25">
      <c r="A18" s="7">
        <v>45698</v>
      </c>
      <c r="B18" s="3" t="s">
        <v>12</v>
      </c>
      <c r="C18" s="3" t="s">
        <v>14</v>
      </c>
      <c r="D18" s="3" t="s">
        <v>24</v>
      </c>
      <c r="E18" s="3">
        <v>3</v>
      </c>
      <c r="F18" s="4">
        <v>800</v>
      </c>
      <c r="G18" s="8">
        <v>2400</v>
      </c>
    </row>
    <row r="19" spans="1:7" x14ac:dyDescent="0.25">
      <c r="A19" s="7">
        <v>45678</v>
      </c>
      <c r="B19" s="3" t="s">
        <v>7</v>
      </c>
      <c r="C19" s="3" t="s">
        <v>15</v>
      </c>
      <c r="D19" s="3" t="s">
        <v>18</v>
      </c>
      <c r="E19" s="3">
        <v>3</v>
      </c>
      <c r="F19" s="4">
        <v>800</v>
      </c>
      <c r="G19" s="8">
        <v>2400</v>
      </c>
    </row>
    <row r="20" spans="1:7" x14ac:dyDescent="0.25">
      <c r="A20" s="7">
        <v>45680</v>
      </c>
      <c r="B20" s="3" t="s">
        <v>7</v>
      </c>
      <c r="C20" s="3" t="s">
        <v>16</v>
      </c>
      <c r="D20" s="3" t="s">
        <v>20</v>
      </c>
      <c r="E20" s="3">
        <v>3</v>
      </c>
      <c r="F20" s="4">
        <v>800</v>
      </c>
      <c r="G20" s="8">
        <v>2400</v>
      </c>
    </row>
    <row r="21" spans="1:7" x14ac:dyDescent="0.25">
      <c r="A21" s="7">
        <v>45707</v>
      </c>
      <c r="B21" s="3" t="s">
        <v>7</v>
      </c>
      <c r="C21" s="3" t="s">
        <v>16</v>
      </c>
      <c r="D21" s="3" t="s">
        <v>24</v>
      </c>
      <c r="E21" s="3">
        <v>3</v>
      </c>
      <c r="F21" s="4">
        <v>800</v>
      </c>
      <c r="G21" s="8">
        <v>2400</v>
      </c>
    </row>
    <row r="22" spans="1:7" x14ac:dyDescent="0.25">
      <c r="A22" s="7">
        <v>45667</v>
      </c>
      <c r="B22" s="3" t="s">
        <v>8</v>
      </c>
      <c r="C22" s="3" t="s">
        <v>16</v>
      </c>
      <c r="D22" s="3" t="s">
        <v>20</v>
      </c>
      <c r="E22" s="3">
        <v>3</v>
      </c>
      <c r="F22" s="4">
        <v>800</v>
      </c>
      <c r="G22" s="8">
        <v>2400</v>
      </c>
    </row>
    <row r="23" spans="1:7" x14ac:dyDescent="0.25">
      <c r="A23" s="7">
        <v>45712</v>
      </c>
      <c r="B23" s="3" t="s">
        <v>9</v>
      </c>
      <c r="C23" s="3" t="s">
        <v>14</v>
      </c>
      <c r="D23" s="3" t="s">
        <v>22</v>
      </c>
      <c r="E23" s="3">
        <v>3</v>
      </c>
      <c r="F23" s="4">
        <v>800</v>
      </c>
      <c r="G23" s="8">
        <v>2400</v>
      </c>
    </row>
    <row r="24" spans="1:7" x14ac:dyDescent="0.25">
      <c r="A24" s="7">
        <v>45672</v>
      </c>
      <c r="B24" s="3" t="s">
        <v>10</v>
      </c>
      <c r="C24" s="3" t="s">
        <v>13</v>
      </c>
      <c r="D24" s="3" t="s">
        <v>24</v>
      </c>
      <c r="E24" s="3">
        <v>3</v>
      </c>
      <c r="F24" s="4">
        <v>800</v>
      </c>
      <c r="G24" s="8">
        <v>2400</v>
      </c>
    </row>
    <row r="25" spans="1:7" x14ac:dyDescent="0.25">
      <c r="A25" s="7">
        <v>45710</v>
      </c>
      <c r="B25" s="3" t="s">
        <v>9</v>
      </c>
      <c r="C25" s="3" t="s">
        <v>16</v>
      </c>
      <c r="D25" s="3" t="s">
        <v>20</v>
      </c>
      <c r="E25" s="3">
        <v>3</v>
      </c>
      <c r="F25" s="4">
        <v>800</v>
      </c>
      <c r="G25" s="8">
        <v>2400</v>
      </c>
    </row>
    <row r="26" spans="1:7" x14ac:dyDescent="0.25">
      <c r="A26" s="7">
        <v>45668</v>
      </c>
      <c r="B26" s="3" t="s">
        <v>7</v>
      </c>
      <c r="C26" s="3" t="s">
        <v>13</v>
      </c>
      <c r="D26" s="3" t="s">
        <v>21</v>
      </c>
      <c r="E26" s="3">
        <v>3</v>
      </c>
      <c r="F26" s="4">
        <v>800</v>
      </c>
      <c r="G26" s="8">
        <v>2400</v>
      </c>
    </row>
    <row r="27" spans="1:7" x14ac:dyDescent="0.25">
      <c r="A27" s="7">
        <v>45666</v>
      </c>
      <c r="B27" s="3" t="s">
        <v>8</v>
      </c>
      <c r="C27" s="3" t="s">
        <v>15</v>
      </c>
      <c r="D27" s="3" t="s">
        <v>21</v>
      </c>
      <c r="E27" s="3">
        <v>3</v>
      </c>
      <c r="F27" s="4">
        <v>800</v>
      </c>
      <c r="G27" s="8">
        <v>2400</v>
      </c>
    </row>
    <row r="28" spans="1:7" x14ac:dyDescent="0.25">
      <c r="A28" s="7">
        <v>45717</v>
      </c>
      <c r="B28" s="3" t="s">
        <v>10</v>
      </c>
      <c r="C28" s="3" t="s">
        <v>15</v>
      </c>
      <c r="D28" s="3" t="s">
        <v>17</v>
      </c>
      <c r="E28" s="3">
        <v>5</v>
      </c>
      <c r="F28" s="4">
        <v>350</v>
      </c>
      <c r="G28" s="8">
        <v>1750</v>
      </c>
    </row>
    <row r="29" spans="1:7" x14ac:dyDescent="0.25">
      <c r="A29" s="7">
        <v>45697</v>
      </c>
      <c r="B29" s="3" t="s">
        <v>8</v>
      </c>
      <c r="C29" s="3" t="s">
        <v>14</v>
      </c>
      <c r="D29" s="3" t="s">
        <v>19</v>
      </c>
      <c r="E29" s="3">
        <v>5</v>
      </c>
      <c r="F29" s="4">
        <v>350</v>
      </c>
      <c r="G29" s="8">
        <v>1750</v>
      </c>
    </row>
    <row r="30" spans="1:7" x14ac:dyDescent="0.25">
      <c r="A30" s="7">
        <v>45710</v>
      </c>
      <c r="B30" s="3" t="s">
        <v>11</v>
      </c>
      <c r="C30" s="3" t="s">
        <v>16</v>
      </c>
      <c r="D30" s="3" t="s">
        <v>19</v>
      </c>
      <c r="E30" s="3">
        <v>5</v>
      </c>
      <c r="F30" s="4">
        <v>350</v>
      </c>
      <c r="G30" s="8">
        <v>1750</v>
      </c>
    </row>
    <row r="31" spans="1:7" x14ac:dyDescent="0.25">
      <c r="A31" s="7">
        <v>45662</v>
      </c>
      <c r="B31" s="3" t="s">
        <v>9</v>
      </c>
      <c r="C31" s="3" t="s">
        <v>16</v>
      </c>
      <c r="D31" s="3" t="s">
        <v>21</v>
      </c>
      <c r="E31" s="3">
        <v>5</v>
      </c>
      <c r="F31" s="4">
        <v>350</v>
      </c>
      <c r="G31" s="8">
        <v>1750</v>
      </c>
    </row>
    <row r="32" spans="1:7" x14ac:dyDescent="0.25">
      <c r="A32" s="7">
        <v>45687</v>
      </c>
      <c r="B32" s="3" t="s">
        <v>12</v>
      </c>
      <c r="C32" s="3" t="s">
        <v>13</v>
      </c>
      <c r="D32" s="3" t="s">
        <v>22</v>
      </c>
      <c r="E32" s="3">
        <v>5</v>
      </c>
      <c r="F32" s="4">
        <v>350</v>
      </c>
      <c r="G32" s="8">
        <v>1750</v>
      </c>
    </row>
    <row r="33" spans="1:7" x14ac:dyDescent="0.25">
      <c r="A33" s="7">
        <v>45687</v>
      </c>
      <c r="B33" s="3" t="s">
        <v>8</v>
      </c>
      <c r="C33" s="3" t="s">
        <v>14</v>
      </c>
      <c r="D33" s="3" t="s">
        <v>22</v>
      </c>
      <c r="E33" s="3">
        <v>5</v>
      </c>
      <c r="F33" s="4">
        <v>350</v>
      </c>
      <c r="G33" s="8">
        <v>1750</v>
      </c>
    </row>
    <row r="34" spans="1:7" x14ac:dyDescent="0.25">
      <c r="A34" s="7">
        <v>45682</v>
      </c>
      <c r="B34" s="3" t="s">
        <v>7</v>
      </c>
      <c r="C34" s="3" t="s">
        <v>16</v>
      </c>
      <c r="D34" s="3" t="s">
        <v>20</v>
      </c>
      <c r="E34" s="3">
        <v>2</v>
      </c>
      <c r="F34" s="4">
        <v>800</v>
      </c>
      <c r="G34" s="8">
        <v>1600</v>
      </c>
    </row>
    <row r="35" spans="1:7" x14ac:dyDescent="0.25">
      <c r="A35" s="7">
        <v>45716</v>
      </c>
      <c r="B35" s="3" t="s">
        <v>9</v>
      </c>
      <c r="C35" s="3" t="s">
        <v>16</v>
      </c>
      <c r="D35" s="3" t="s">
        <v>17</v>
      </c>
      <c r="E35" s="3">
        <v>2</v>
      </c>
      <c r="F35" s="4">
        <v>800</v>
      </c>
      <c r="G35" s="8">
        <v>1600</v>
      </c>
    </row>
    <row r="36" spans="1:7" x14ac:dyDescent="0.25">
      <c r="A36" s="7">
        <v>45685</v>
      </c>
      <c r="B36" s="3" t="s">
        <v>10</v>
      </c>
      <c r="C36" s="3" t="s">
        <v>15</v>
      </c>
      <c r="D36" s="3" t="s">
        <v>19</v>
      </c>
      <c r="E36" s="3">
        <v>2</v>
      </c>
      <c r="F36" s="4">
        <v>800</v>
      </c>
      <c r="G36" s="8">
        <v>1600</v>
      </c>
    </row>
    <row r="37" spans="1:7" x14ac:dyDescent="0.25">
      <c r="A37" s="7">
        <v>45689</v>
      </c>
      <c r="B37" s="3" t="s">
        <v>10</v>
      </c>
      <c r="C37" s="3" t="s">
        <v>15</v>
      </c>
      <c r="D37" s="3" t="s">
        <v>21</v>
      </c>
      <c r="E37" s="3">
        <v>2</v>
      </c>
      <c r="F37" s="4">
        <v>800</v>
      </c>
      <c r="G37" s="8">
        <v>1600</v>
      </c>
    </row>
    <row r="38" spans="1:7" x14ac:dyDescent="0.25">
      <c r="A38" s="7">
        <v>45702</v>
      </c>
      <c r="B38" s="3" t="s">
        <v>7</v>
      </c>
      <c r="C38" s="3" t="s">
        <v>15</v>
      </c>
      <c r="D38" s="3" t="s">
        <v>18</v>
      </c>
      <c r="E38" s="3">
        <v>2</v>
      </c>
      <c r="F38" s="4">
        <v>800</v>
      </c>
      <c r="G38" s="8">
        <v>1600</v>
      </c>
    </row>
    <row r="39" spans="1:7" x14ac:dyDescent="0.25">
      <c r="A39" s="7">
        <v>45706</v>
      </c>
      <c r="B39" s="3" t="s">
        <v>12</v>
      </c>
      <c r="C39" s="3" t="s">
        <v>15</v>
      </c>
      <c r="D39" s="3" t="s">
        <v>19</v>
      </c>
      <c r="E39" s="3">
        <v>2</v>
      </c>
      <c r="F39" s="4">
        <v>800</v>
      </c>
      <c r="G39" s="8">
        <v>1600</v>
      </c>
    </row>
    <row r="40" spans="1:7" x14ac:dyDescent="0.25">
      <c r="A40" s="7">
        <v>45661</v>
      </c>
      <c r="B40" s="3" t="s">
        <v>8</v>
      </c>
      <c r="C40" s="3" t="s">
        <v>15</v>
      </c>
      <c r="D40" s="3" t="s">
        <v>22</v>
      </c>
      <c r="E40" s="3">
        <v>2</v>
      </c>
      <c r="F40" s="4">
        <v>800</v>
      </c>
      <c r="G40" s="8">
        <v>1600</v>
      </c>
    </row>
    <row r="41" spans="1:7" x14ac:dyDescent="0.25">
      <c r="A41" s="7">
        <v>45704</v>
      </c>
      <c r="B41" s="3" t="s">
        <v>7</v>
      </c>
      <c r="C41" s="3" t="s">
        <v>14</v>
      </c>
      <c r="D41" s="3" t="s">
        <v>24</v>
      </c>
      <c r="E41" s="3">
        <v>2</v>
      </c>
      <c r="F41" s="4">
        <v>800</v>
      </c>
      <c r="G41" s="8">
        <v>1600</v>
      </c>
    </row>
    <row r="42" spans="1:7" x14ac:dyDescent="0.25">
      <c r="A42" s="7">
        <v>45714</v>
      </c>
      <c r="B42" s="3" t="s">
        <v>12</v>
      </c>
      <c r="C42" s="3" t="s">
        <v>16</v>
      </c>
      <c r="D42" s="3" t="s">
        <v>22</v>
      </c>
      <c r="E42" s="3">
        <v>4</v>
      </c>
      <c r="F42" s="4">
        <v>350</v>
      </c>
      <c r="G42" s="8">
        <v>1400</v>
      </c>
    </row>
    <row r="43" spans="1:7" x14ac:dyDescent="0.25">
      <c r="A43" s="7">
        <v>45717</v>
      </c>
      <c r="B43" s="3" t="s">
        <v>10</v>
      </c>
      <c r="C43" s="3" t="s">
        <v>16</v>
      </c>
      <c r="D43" s="3" t="s">
        <v>22</v>
      </c>
      <c r="E43" s="3">
        <v>4</v>
      </c>
      <c r="F43" s="4">
        <v>350</v>
      </c>
      <c r="G43" s="8">
        <v>1400</v>
      </c>
    </row>
    <row r="44" spans="1:7" x14ac:dyDescent="0.25">
      <c r="A44" s="7">
        <v>45687</v>
      </c>
      <c r="B44" s="3" t="s">
        <v>12</v>
      </c>
      <c r="C44" s="3" t="s">
        <v>14</v>
      </c>
      <c r="D44" s="3" t="s">
        <v>18</v>
      </c>
      <c r="E44" s="3">
        <v>4</v>
      </c>
      <c r="F44" s="4">
        <v>350</v>
      </c>
      <c r="G44" s="8">
        <v>1400</v>
      </c>
    </row>
    <row r="45" spans="1:7" x14ac:dyDescent="0.25">
      <c r="A45" s="7">
        <v>45679</v>
      </c>
      <c r="B45" s="3" t="s">
        <v>10</v>
      </c>
      <c r="C45" s="3" t="s">
        <v>13</v>
      </c>
      <c r="D45" s="3" t="s">
        <v>24</v>
      </c>
      <c r="E45" s="3">
        <v>4</v>
      </c>
      <c r="F45" s="4">
        <v>350</v>
      </c>
      <c r="G45" s="8">
        <v>1400</v>
      </c>
    </row>
    <row r="46" spans="1:7" x14ac:dyDescent="0.25">
      <c r="A46" s="7">
        <v>45704</v>
      </c>
      <c r="B46" s="3" t="s">
        <v>10</v>
      </c>
      <c r="C46" s="3" t="s">
        <v>16</v>
      </c>
      <c r="D46" s="3" t="s">
        <v>24</v>
      </c>
      <c r="E46" s="3">
        <v>4</v>
      </c>
      <c r="F46" s="4">
        <v>350</v>
      </c>
      <c r="G46" s="8">
        <v>1400</v>
      </c>
    </row>
    <row r="47" spans="1:7" x14ac:dyDescent="0.25">
      <c r="A47" s="7">
        <v>45685</v>
      </c>
      <c r="B47" s="3" t="s">
        <v>11</v>
      </c>
      <c r="C47" s="3" t="s">
        <v>16</v>
      </c>
      <c r="D47" s="3" t="s">
        <v>19</v>
      </c>
      <c r="E47" s="3">
        <v>4</v>
      </c>
      <c r="F47" s="4">
        <v>350</v>
      </c>
      <c r="G47" s="8">
        <v>1400</v>
      </c>
    </row>
    <row r="48" spans="1:7" x14ac:dyDescent="0.25">
      <c r="A48" s="7">
        <v>45690</v>
      </c>
      <c r="B48" s="3" t="s">
        <v>9</v>
      </c>
      <c r="C48" s="3" t="s">
        <v>15</v>
      </c>
      <c r="D48" s="3" t="s">
        <v>23</v>
      </c>
      <c r="E48" s="3">
        <v>4</v>
      </c>
      <c r="F48" s="4">
        <v>350</v>
      </c>
      <c r="G48" s="8">
        <v>1400</v>
      </c>
    </row>
    <row r="49" spans="1:7" x14ac:dyDescent="0.25">
      <c r="A49" s="7">
        <v>45696</v>
      </c>
      <c r="B49" s="3" t="s">
        <v>7</v>
      </c>
      <c r="C49" s="3" t="s">
        <v>13</v>
      </c>
      <c r="D49" s="3" t="s">
        <v>17</v>
      </c>
      <c r="E49" s="3">
        <v>3</v>
      </c>
      <c r="F49" s="4">
        <v>350</v>
      </c>
      <c r="G49" s="8">
        <v>1050</v>
      </c>
    </row>
    <row r="50" spans="1:7" x14ac:dyDescent="0.25">
      <c r="A50" s="7">
        <v>45712</v>
      </c>
      <c r="B50" s="3" t="s">
        <v>7</v>
      </c>
      <c r="C50" s="3" t="s">
        <v>15</v>
      </c>
      <c r="D50" s="3" t="s">
        <v>22</v>
      </c>
      <c r="E50" s="3">
        <v>3</v>
      </c>
      <c r="F50" s="4">
        <v>350</v>
      </c>
      <c r="G50" s="8">
        <v>1050</v>
      </c>
    </row>
    <row r="51" spans="1:7" x14ac:dyDescent="0.25">
      <c r="A51" s="7">
        <v>45675</v>
      </c>
      <c r="B51" s="3" t="s">
        <v>11</v>
      </c>
      <c r="C51" s="3" t="s">
        <v>16</v>
      </c>
      <c r="D51" s="3" t="s">
        <v>20</v>
      </c>
      <c r="E51" s="3">
        <v>3</v>
      </c>
      <c r="F51" s="4">
        <v>350</v>
      </c>
      <c r="G51" s="8">
        <v>1050</v>
      </c>
    </row>
    <row r="52" spans="1:7" x14ac:dyDescent="0.25">
      <c r="A52" s="7">
        <v>45686</v>
      </c>
      <c r="B52" s="3" t="s">
        <v>12</v>
      </c>
      <c r="C52" s="3" t="s">
        <v>15</v>
      </c>
      <c r="D52" s="3" t="s">
        <v>20</v>
      </c>
      <c r="E52" s="3">
        <v>3</v>
      </c>
      <c r="F52" s="4">
        <v>350</v>
      </c>
      <c r="G52" s="8">
        <v>1050</v>
      </c>
    </row>
    <row r="53" spans="1:7" x14ac:dyDescent="0.25">
      <c r="A53" s="7">
        <v>45661</v>
      </c>
      <c r="B53" s="3" t="s">
        <v>7</v>
      </c>
      <c r="C53" s="3" t="s">
        <v>16</v>
      </c>
      <c r="D53" s="3" t="s">
        <v>19</v>
      </c>
      <c r="E53" s="3">
        <v>3</v>
      </c>
      <c r="F53" s="4">
        <v>350</v>
      </c>
      <c r="G53" s="8">
        <v>1050</v>
      </c>
    </row>
    <row r="54" spans="1:7" x14ac:dyDescent="0.25">
      <c r="A54" s="7">
        <v>45672</v>
      </c>
      <c r="B54" s="3" t="s">
        <v>12</v>
      </c>
      <c r="C54" s="3" t="s">
        <v>15</v>
      </c>
      <c r="D54" s="3" t="s">
        <v>20</v>
      </c>
      <c r="E54" s="3">
        <v>3</v>
      </c>
      <c r="F54" s="4">
        <v>350</v>
      </c>
      <c r="G54" s="8">
        <v>1050</v>
      </c>
    </row>
    <row r="55" spans="1:7" x14ac:dyDescent="0.25">
      <c r="A55" s="7">
        <v>45698</v>
      </c>
      <c r="B55" s="3" t="s">
        <v>9</v>
      </c>
      <c r="C55" s="3" t="s">
        <v>16</v>
      </c>
      <c r="D55" s="3" t="s">
        <v>19</v>
      </c>
      <c r="E55" s="3">
        <v>3</v>
      </c>
      <c r="F55" s="4">
        <v>350</v>
      </c>
      <c r="G55" s="8">
        <v>1050</v>
      </c>
    </row>
    <row r="56" spans="1:7" x14ac:dyDescent="0.25">
      <c r="A56" s="7">
        <v>45663</v>
      </c>
      <c r="B56" s="3" t="s">
        <v>11</v>
      </c>
      <c r="C56" s="3" t="s">
        <v>16</v>
      </c>
      <c r="D56" s="3" t="s">
        <v>19</v>
      </c>
      <c r="E56" s="3">
        <v>5</v>
      </c>
      <c r="F56" s="4">
        <v>200</v>
      </c>
      <c r="G56" s="8">
        <v>1000</v>
      </c>
    </row>
    <row r="57" spans="1:7" x14ac:dyDescent="0.25">
      <c r="A57" s="7">
        <v>45694</v>
      </c>
      <c r="B57" s="3" t="s">
        <v>11</v>
      </c>
      <c r="C57" s="3" t="s">
        <v>14</v>
      </c>
      <c r="D57" s="3" t="s">
        <v>22</v>
      </c>
      <c r="E57" s="3">
        <v>5</v>
      </c>
      <c r="F57" s="4">
        <v>200</v>
      </c>
      <c r="G57" s="8">
        <v>1000</v>
      </c>
    </row>
    <row r="58" spans="1:7" x14ac:dyDescent="0.25">
      <c r="A58" s="7">
        <v>45692</v>
      </c>
      <c r="B58" s="3" t="s">
        <v>10</v>
      </c>
      <c r="C58" s="3" t="s">
        <v>16</v>
      </c>
      <c r="D58" s="3" t="s">
        <v>18</v>
      </c>
      <c r="E58" s="3">
        <v>5</v>
      </c>
      <c r="F58" s="4">
        <v>200</v>
      </c>
      <c r="G58" s="8">
        <v>1000</v>
      </c>
    </row>
    <row r="59" spans="1:7" x14ac:dyDescent="0.25">
      <c r="A59" s="7">
        <v>45715</v>
      </c>
      <c r="B59" s="3" t="s">
        <v>7</v>
      </c>
      <c r="C59" s="3" t="s">
        <v>13</v>
      </c>
      <c r="D59" s="3" t="s">
        <v>23</v>
      </c>
      <c r="E59" s="3">
        <v>5</v>
      </c>
      <c r="F59" s="4">
        <v>200</v>
      </c>
      <c r="G59" s="8">
        <v>1000</v>
      </c>
    </row>
    <row r="60" spans="1:7" x14ac:dyDescent="0.25">
      <c r="A60" s="7">
        <v>45676</v>
      </c>
      <c r="B60" s="3" t="s">
        <v>11</v>
      </c>
      <c r="C60" s="3" t="s">
        <v>14</v>
      </c>
      <c r="D60" s="3" t="s">
        <v>23</v>
      </c>
      <c r="E60" s="3">
        <v>5</v>
      </c>
      <c r="F60" s="4">
        <v>200</v>
      </c>
      <c r="G60" s="8">
        <v>1000</v>
      </c>
    </row>
    <row r="61" spans="1:7" x14ac:dyDescent="0.25">
      <c r="A61" s="7">
        <v>45715</v>
      </c>
      <c r="B61" s="3" t="s">
        <v>12</v>
      </c>
      <c r="C61" s="3" t="s">
        <v>14</v>
      </c>
      <c r="D61" s="3" t="s">
        <v>23</v>
      </c>
      <c r="E61" s="3">
        <v>5</v>
      </c>
      <c r="F61" s="4">
        <v>200</v>
      </c>
      <c r="G61" s="8">
        <v>1000</v>
      </c>
    </row>
    <row r="62" spans="1:7" x14ac:dyDescent="0.25">
      <c r="A62" s="7">
        <v>45661</v>
      </c>
      <c r="B62" s="3" t="s">
        <v>8</v>
      </c>
      <c r="C62" s="3" t="s">
        <v>14</v>
      </c>
      <c r="D62" s="3" t="s">
        <v>22</v>
      </c>
      <c r="E62" s="3">
        <v>5</v>
      </c>
      <c r="F62" s="4">
        <v>200</v>
      </c>
      <c r="G62" s="8">
        <v>1000</v>
      </c>
    </row>
    <row r="63" spans="1:7" x14ac:dyDescent="0.25">
      <c r="A63" s="7">
        <v>45663</v>
      </c>
      <c r="B63" s="3" t="s">
        <v>8</v>
      </c>
      <c r="C63" s="3" t="s">
        <v>15</v>
      </c>
      <c r="D63" s="3" t="s">
        <v>20</v>
      </c>
      <c r="E63" s="3">
        <v>5</v>
      </c>
      <c r="F63" s="4">
        <v>200</v>
      </c>
      <c r="G63" s="8">
        <v>1000</v>
      </c>
    </row>
    <row r="64" spans="1:7" x14ac:dyDescent="0.25">
      <c r="A64" s="7">
        <v>45674</v>
      </c>
      <c r="B64" s="3" t="s">
        <v>7</v>
      </c>
      <c r="C64" s="3" t="s">
        <v>16</v>
      </c>
      <c r="D64" s="3" t="s">
        <v>18</v>
      </c>
      <c r="E64" s="3">
        <v>4</v>
      </c>
      <c r="F64" s="4">
        <v>200</v>
      </c>
      <c r="G64" s="8">
        <v>800</v>
      </c>
    </row>
    <row r="65" spans="1:7" x14ac:dyDescent="0.25">
      <c r="A65" s="7">
        <v>45712</v>
      </c>
      <c r="B65" s="3" t="s">
        <v>7</v>
      </c>
      <c r="C65" s="3" t="s">
        <v>13</v>
      </c>
      <c r="D65" s="3" t="s">
        <v>17</v>
      </c>
      <c r="E65" s="3">
        <v>1</v>
      </c>
      <c r="F65" s="4">
        <v>800</v>
      </c>
      <c r="G65" s="8">
        <v>800</v>
      </c>
    </row>
    <row r="66" spans="1:7" x14ac:dyDescent="0.25">
      <c r="A66" s="7">
        <v>45691</v>
      </c>
      <c r="B66" s="3" t="s">
        <v>11</v>
      </c>
      <c r="C66" s="3" t="s">
        <v>16</v>
      </c>
      <c r="D66" s="3" t="s">
        <v>21</v>
      </c>
      <c r="E66" s="3">
        <v>1</v>
      </c>
      <c r="F66" s="4">
        <v>800</v>
      </c>
      <c r="G66" s="8">
        <v>800</v>
      </c>
    </row>
    <row r="67" spans="1:7" x14ac:dyDescent="0.25">
      <c r="A67" s="7">
        <v>45707</v>
      </c>
      <c r="B67" s="3" t="s">
        <v>10</v>
      </c>
      <c r="C67" s="3" t="s">
        <v>15</v>
      </c>
      <c r="D67" s="3" t="s">
        <v>23</v>
      </c>
      <c r="E67" s="3">
        <v>4</v>
      </c>
      <c r="F67" s="4">
        <v>200</v>
      </c>
      <c r="G67" s="8">
        <v>800</v>
      </c>
    </row>
    <row r="68" spans="1:7" x14ac:dyDescent="0.25">
      <c r="A68" s="7">
        <v>45711</v>
      </c>
      <c r="B68" s="3" t="s">
        <v>9</v>
      </c>
      <c r="C68" s="3" t="s">
        <v>15</v>
      </c>
      <c r="D68" s="3" t="s">
        <v>20</v>
      </c>
      <c r="E68" s="3">
        <v>4</v>
      </c>
      <c r="F68" s="4">
        <v>200</v>
      </c>
      <c r="G68" s="8">
        <v>800</v>
      </c>
    </row>
    <row r="69" spans="1:7" x14ac:dyDescent="0.25">
      <c r="A69" s="7">
        <v>45685</v>
      </c>
      <c r="B69" s="3" t="s">
        <v>12</v>
      </c>
      <c r="C69" s="3" t="s">
        <v>15</v>
      </c>
      <c r="D69" s="3" t="s">
        <v>18</v>
      </c>
      <c r="E69" s="3">
        <v>4</v>
      </c>
      <c r="F69" s="4">
        <v>200</v>
      </c>
      <c r="G69" s="8">
        <v>800</v>
      </c>
    </row>
    <row r="70" spans="1:7" x14ac:dyDescent="0.25">
      <c r="A70" s="7">
        <v>45700</v>
      </c>
      <c r="B70" s="3" t="s">
        <v>9</v>
      </c>
      <c r="C70" s="3" t="s">
        <v>15</v>
      </c>
      <c r="D70" s="3" t="s">
        <v>21</v>
      </c>
      <c r="E70" s="3">
        <v>1</v>
      </c>
      <c r="F70" s="4">
        <v>800</v>
      </c>
      <c r="G70" s="8">
        <v>800</v>
      </c>
    </row>
    <row r="71" spans="1:7" x14ac:dyDescent="0.25">
      <c r="A71" s="7">
        <v>45693</v>
      </c>
      <c r="B71" s="3" t="s">
        <v>12</v>
      </c>
      <c r="C71" s="3" t="s">
        <v>16</v>
      </c>
      <c r="D71" s="3" t="s">
        <v>17</v>
      </c>
      <c r="E71" s="3">
        <v>1</v>
      </c>
      <c r="F71" s="4">
        <v>800</v>
      </c>
      <c r="G71" s="8">
        <v>800</v>
      </c>
    </row>
    <row r="72" spans="1:7" x14ac:dyDescent="0.25">
      <c r="A72" s="7">
        <v>45702</v>
      </c>
      <c r="B72" s="3" t="s">
        <v>9</v>
      </c>
      <c r="C72" s="3" t="s">
        <v>15</v>
      </c>
      <c r="D72" s="3" t="s">
        <v>24</v>
      </c>
      <c r="E72" s="3">
        <v>1</v>
      </c>
      <c r="F72" s="4">
        <v>800</v>
      </c>
      <c r="G72" s="8">
        <v>800</v>
      </c>
    </row>
    <row r="73" spans="1:7" x14ac:dyDescent="0.25">
      <c r="A73" s="7">
        <v>45671</v>
      </c>
      <c r="B73" s="3" t="s">
        <v>8</v>
      </c>
      <c r="C73" s="3" t="s">
        <v>14</v>
      </c>
      <c r="D73" s="3" t="s">
        <v>21</v>
      </c>
      <c r="E73" s="3">
        <v>4</v>
      </c>
      <c r="F73" s="4">
        <v>200</v>
      </c>
      <c r="G73" s="8">
        <v>800</v>
      </c>
    </row>
    <row r="74" spans="1:7" x14ac:dyDescent="0.25">
      <c r="A74" s="7">
        <v>45672</v>
      </c>
      <c r="B74" s="3" t="s">
        <v>10</v>
      </c>
      <c r="C74" s="3" t="s">
        <v>14</v>
      </c>
      <c r="D74" s="3" t="s">
        <v>23</v>
      </c>
      <c r="E74" s="3">
        <v>4</v>
      </c>
      <c r="F74" s="4">
        <v>200</v>
      </c>
      <c r="G74" s="8">
        <v>800</v>
      </c>
    </row>
    <row r="75" spans="1:7" x14ac:dyDescent="0.25">
      <c r="A75" s="7">
        <v>45697</v>
      </c>
      <c r="B75" s="3" t="s">
        <v>9</v>
      </c>
      <c r="C75" s="3" t="s">
        <v>15</v>
      </c>
      <c r="D75" s="3" t="s">
        <v>23</v>
      </c>
      <c r="E75" s="3">
        <v>2</v>
      </c>
      <c r="F75" s="4">
        <v>350</v>
      </c>
      <c r="G75" s="8">
        <v>700</v>
      </c>
    </row>
    <row r="76" spans="1:7" x14ac:dyDescent="0.25">
      <c r="A76" s="7">
        <v>45713</v>
      </c>
      <c r="B76" s="3" t="s">
        <v>12</v>
      </c>
      <c r="C76" s="3" t="s">
        <v>15</v>
      </c>
      <c r="D76" s="3" t="s">
        <v>20</v>
      </c>
      <c r="E76" s="3">
        <v>2</v>
      </c>
      <c r="F76" s="4">
        <v>350</v>
      </c>
      <c r="G76" s="8">
        <v>700</v>
      </c>
    </row>
    <row r="77" spans="1:7" x14ac:dyDescent="0.25">
      <c r="A77" s="7">
        <v>45664</v>
      </c>
      <c r="B77" s="3" t="s">
        <v>7</v>
      </c>
      <c r="C77" s="3" t="s">
        <v>16</v>
      </c>
      <c r="D77" s="3" t="s">
        <v>23</v>
      </c>
      <c r="E77" s="3">
        <v>2</v>
      </c>
      <c r="F77" s="4">
        <v>350</v>
      </c>
      <c r="G77" s="8">
        <v>700</v>
      </c>
    </row>
    <row r="78" spans="1:7" x14ac:dyDescent="0.25">
      <c r="A78" s="7">
        <v>45666</v>
      </c>
      <c r="B78" s="3" t="s">
        <v>8</v>
      </c>
      <c r="C78" s="3" t="s">
        <v>14</v>
      </c>
      <c r="D78" s="3" t="s">
        <v>20</v>
      </c>
      <c r="E78" s="3">
        <v>2</v>
      </c>
      <c r="F78" s="4">
        <v>350</v>
      </c>
      <c r="G78" s="8">
        <v>700</v>
      </c>
    </row>
    <row r="79" spans="1:7" x14ac:dyDescent="0.25">
      <c r="A79" s="7">
        <v>45689</v>
      </c>
      <c r="B79" s="3" t="s">
        <v>12</v>
      </c>
      <c r="C79" s="3" t="s">
        <v>14</v>
      </c>
      <c r="D79" s="3" t="s">
        <v>23</v>
      </c>
      <c r="E79" s="3">
        <v>2</v>
      </c>
      <c r="F79" s="4">
        <v>350</v>
      </c>
      <c r="G79" s="8">
        <v>700</v>
      </c>
    </row>
    <row r="80" spans="1:7" x14ac:dyDescent="0.25">
      <c r="A80" s="7">
        <v>45679</v>
      </c>
      <c r="B80" s="3" t="s">
        <v>7</v>
      </c>
      <c r="C80" s="3" t="s">
        <v>16</v>
      </c>
      <c r="D80" s="3" t="s">
        <v>20</v>
      </c>
      <c r="E80" s="3">
        <v>5</v>
      </c>
      <c r="F80" s="4">
        <v>120</v>
      </c>
      <c r="G80" s="8">
        <v>600</v>
      </c>
    </row>
    <row r="81" spans="1:7" x14ac:dyDescent="0.25">
      <c r="A81" s="7">
        <v>45701</v>
      </c>
      <c r="B81" s="3" t="s">
        <v>7</v>
      </c>
      <c r="C81" s="3" t="s">
        <v>16</v>
      </c>
      <c r="D81" s="3" t="s">
        <v>24</v>
      </c>
      <c r="E81" s="3">
        <v>3</v>
      </c>
      <c r="F81" s="4">
        <v>200</v>
      </c>
      <c r="G81" s="8">
        <v>600</v>
      </c>
    </row>
    <row r="82" spans="1:7" x14ac:dyDescent="0.25">
      <c r="A82" s="7">
        <v>45677</v>
      </c>
      <c r="B82" s="3" t="s">
        <v>7</v>
      </c>
      <c r="C82" s="3" t="s">
        <v>14</v>
      </c>
      <c r="D82" s="3" t="s">
        <v>19</v>
      </c>
      <c r="E82" s="3">
        <v>3</v>
      </c>
      <c r="F82" s="4">
        <v>200</v>
      </c>
      <c r="G82" s="8">
        <v>600</v>
      </c>
    </row>
    <row r="83" spans="1:7" x14ac:dyDescent="0.25">
      <c r="A83" s="7">
        <v>45711</v>
      </c>
      <c r="B83" s="3" t="s">
        <v>12</v>
      </c>
      <c r="C83" s="3" t="s">
        <v>14</v>
      </c>
      <c r="D83" s="3" t="s">
        <v>20</v>
      </c>
      <c r="E83" s="3">
        <v>5</v>
      </c>
      <c r="F83" s="4">
        <v>120</v>
      </c>
      <c r="G83" s="8">
        <v>600</v>
      </c>
    </row>
    <row r="84" spans="1:7" x14ac:dyDescent="0.25">
      <c r="A84" s="7">
        <v>45706</v>
      </c>
      <c r="B84" s="3" t="s">
        <v>10</v>
      </c>
      <c r="C84" s="3" t="s">
        <v>15</v>
      </c>
      <c r="D84" s="3" t="s">
        <v>19</v>
      </c>
      <c r="E84" s="3">
        <v>5</v>
      </c>
      <c r="F84" s="4">
        <v>120</v>
      </c>
      <c r="G84" s="8">
        <v>600</v>
      </c>
    </row>
    <row r="85" spans="1:7" x14ac:dyDescent="0.25">
      <c r="A85" s="7">
        <v>45710</v>
      </c>
      <c r="B85" s="3" t="s">
        <v>10</v>
      </c>
      <c r="C85" s="3" t="s">
        <v>15</v>
      </c>
      <c r="D85" s="3" t="s">
        <v>23</v>
      </c>
      <c r="E85" s="3">
        <v>5</v>
      </c>
      <c r="F85" s="4">
        <v>120</v>
      </c>
      <c r="G85" s="8">
        <v>600</v>
      </c>
    </row>
    <row r="86" spans="1:7" x14ac:dyDescent="0.25">
      <c r="A86" s="7">
        <v>45669</v>
      </c>
      <c r="B86" s="3" t="s">
        <v>11</v>
      </c>
      <c r="C86" s="3" t="s">
        <v>16</v>
      </c>
      <c r="D86" s="3" t="s">
        <v>23</v>
      </c>
      <c r="E86" s="3">
        <v>3</v>
      </c>
      <c r="F86" s="4">
        <v>200</v>
      </c>
      <c r="G86" s="8">
        <v>600</v>
      </c>
    </row>
    <row r="87" spans="1:7" x14ac:dyDescent="0.25">
      <c r="A87" s="7">
        <v>45691</v>
      </c>
      <c r="B87" s="3" t="s">
        <v>11</v>
      </c>
      <c r="C87" s="3" t="s">
        <v>16</v>
      </c>
      <c r="D87" s="3" t="s">
        <v>21</v>
      </c>
      <c r="E87" s="3">
        <v>3</v>
      </c>
      <c r="F87" s="4">
        <v>200</v>
      </c>
      <c r="G87" s="8">
        <v>600</v>
      </c>
    </row>
    <row r="88" spans="1:7" x14ac:dyDescent="0.25">
      <c r="A88" s="7">
        <v>45669</v>
      </c>
      <c r="B88" s="3" t="s">
        <v>10</v>
      </c>
      <c r="C88" s="3" t="s">
        <v>16</v>
      </c>
      <c r="D88" s="3" t="s">
        <v>19</v>
      </c>
      <c r="E88" s="3">
        <v>5</v>
      </c>
      <c r="F88" s="4">
        <v>120</v>
      </c>
      <c r="G88" s="8">
        <v>600</v>
      </c>
    </row>
    <row r="89" spans="1:7" x14ac:dyDescent="0.25">
      <c r="A89" s="7">
        <v>45685</v>
      </c>
      <c r="B89" s="3" t="s">
        <v>8</v>
      </c>
      <c r="C89" s="3" t="s">
        <v>13</v>
      </c>
      <c r="D89" s="3" t="s">
        <v>24</v>
      </c>
      <c r="E89" s="3">
        <v>5</v>
      </c>
      <c r="F89" s="4">
        <v>120</v>
      </c>
      <c r="G89" s="8">
        <v>600</v>
      </c>
    </row>
    <row r="90" spans="1:7" x14ac:dyDescent="0.25">
      <c r="A90" s="7">
        <v>45701</v>
      </c>
      <c r="B90" s="3" t="s">
        <v>12</v>
      </c>
      <c r="C90" s="3" t="s">
        <v>16</v>
      </c>
      <c r="D90" s="3" t="s">
        <v>22</v>
      </c>
      <c r="E90" s="3">
        <v>5</v>
      </c>
      <c r="F90" s="4">
        <v>120</v>
      </c>
      <c r="G90" s="8">
        <v>600</v>
      </c>
    </row>
    <row r="91" spans="1:7" x14ac:dyDescent="0.25">
      <c r="A91" s="7">
        <v>45683</v>
      </c>
      <c r="B91" s="3" t="s">
        <v>11</v>
      </c>
      <c r="C91" s="3" t="s">
        <v>15</v>
      </c>
      <c r="D91" s="3" t="s">
        <v>24</v>
      </c>
      <c r="E91" s="3">
        <v>5</v>
      </c>
      <c r="F91" s="4">
        <v>120</v>
      </c>
      <c r="G91" s="8">
        <v>600</v>
      </c>
    </row>
    <row r="92" spans="1:7" x14ac:dyDescent="0.25">
      <c r="A92" s="7">
        <v>45683</v>
      </c>
      <c r="B92" s="3" t="s">
        <v>7</v>
      </c>
      <c r="C92" s="3" t="s">
        <v>16</v>
      </c>
      <c r="D92" s="3" t="s">
        <v>20</v>
      </c>
      <c r="E92" s="3">
        <v>4</v>
      </c>
      <c r="F92" s="4">
        <v>120</v>
      </c>
      <c r="G92" s="8">
        <v>480</v>
      </c>
    </row>
    <row r="93" spans="1:7" x14ac:dyDescent="0.25">
      <c r="A93" s="7">
        <v>45668</v>
      </c>
      <c r="B93" s="3" t="s">
        <v>10</v>
      </c>
      <c r="C93" s="3" t="s">
        <v>15</v>
      </c>
      <c r="D93" s="3" t="s">
        <v>19</v>
      </c>
      <c r="E93" s="3">
        <v>4</v>
      </c>
      <c r="F93" s="4">
        <v>120</v>
      </c>
      <c r="G93" s="8">
        <v>480</v>
      </c>
    </row>
    <row r="94" spans="1:7" x14ac:dyDescent="0.25">
      <c r="A94" s="7">
        <v>45698</v>
      </c>
      <c r="B94" s="3" t="s">
        <v>10</v>
      </c>
      <c r="C94" s="3" t="s">
        <v>14</v>
      </c>
      <c r="D94" s="3" t="s">
        <v>23</v>
      </c>
      <c r="E94" s="3">
        <v>4</v>
      </c>
      <c r="F94" s="4">
        <v>120</v>
      </c>
      <c r="G94" s="8">
        <v>480</v>
      </c>
    </row>
    <row r="95" spans="1:7" x14ac:dyDescent="0.25">
      <c r="A95" s="7">
        <v>45709</v>
      </c>
      <c r="B95" s="3" t="s">
        <v>11</v>
      </c>
      <c r="C95" s="3" t="s">
        <v>16</v>
      </c>
      <c r="D95" s="3" t="s">
        <v>20</v>
      </c>
      <c r="E95" s="3">
        <v>4</v>
      </c>
      <c r="F95" s="4">
        <v>120</v>
      </c>
      <c r="G95" s="8">
        <v>480</v>
      </c>
    </row>
    <row r="96" spans="1:7" x14ac:dyDescent="0.25">
      <c r="A96" s="7">
        <v>45679</v>
      </c>
      <c r="B96" s="3" t="s">
        <v>9</v>
      </c>
      <c r="C96" s="3" t="s">
        <v>16</v>
      </c>
      <c r="D96" s="3" t="s">
        <v>24</v>
      </c>
      <c r="E96" s="3">
        <v>4</v>
      </c>
      <c r="F96" s="4">
        <v>120</v>
      </c>
      <c r="G96" s="8">
        <v>480</v>
      </c>
    </row>
    <row r="97" spans="1:7" x14ac:dyDescent="0.25">
      <c r="A97" s="7">
        <v>45680</v>
      </c>
      <c r="B97" s="3" t="s">
        <v>8</v>
      </c>
      <c r="C97" s="3" t="s">
        <v>14</v>
      </c>
      <c r="D97" s="3" t="s">
        <v>21</v>
      </c>
      <c r="E97" s="3">
        <v>2</v>
      </c>
      <c r="F97" s="4">
        <v>200</v>
      </c>
      <c r="G97" s="8">
        <v>400</v>
      </c>
    </row>
    <row r="98" spans="1:7" x14ac:dyDescent="0.25">
      <c r="A98" s="7">
        <v>45715</v>
      </c>
      <c r="B98" s="3" t="s">
        <v>11</v>
      </c>
      <c r="C98" s="3" t="s">
        <v>13</v>
      </c>
      <c r="D98" s="3" t="s">
        <v>24</v>
      </c>
      <c r="E98" s="3">
        <v>2</v>
      </c>
      <c r="F98" s="4">
        <v>200</v>
      </c>
      <c r="G98" s="8">
        <v>400</v>
      </c>
    </row>
    <row r="99" spans="1:7" x14ac:dyDescent="0.25">
      <c r="A99" s="7">
        <v>45690</v>
      </c>
      <c r="B99" s="3" t="s">
        <v>11</v>
      </c>
      <c r="C99" s="3" t="s">
        <v>16</v>
      </c>
      <c r="D99" s="3" t="s">
        <v>23</v>
      </c>
      <c r="E99" s="3">
        <v>2</v>
      </c>
      <c r="F99" s="4">
        <v>200</v>
      </c>
      <c r="G99" s="8">
        <v>400</v>
      </c>
    </row>
    <row r="100" spans="1:7" x14ac:dyDescent="0.25">
      <c r="A100" s="7">
        <v>45701</v>
      </c>
      <c r="B100" s="3" t="s">
        <v>11</v>
      </c>
      <c r="C100" s="3" t="s">
        <v>14</v>
      </c>
      <c r="D100" s="3" t="s">
        <v>21</v>
      </c>
      <c r="E100" s="3">
        <v>2</v>
      </c>
      <c r="F100" s="4">
        <v>200</v>
      </c>
      <c r="G100" s="8">
        <v>400</v>
      </c>
    </row>
    <row r="101" spans="1:7" x14ac:dyDescent="0.25">
      <c r="A101" s="7">
        <v>45710</v>
      </c>
      <c r="B101" s="3" t="s">
        <v>8</v>
      </c>
      <c r="C101" s="3" t="s">
        <v>15</v>
      </c>
      <c r="D101" s="3" t="s">
        <v>19</v>
      </c>
      <c r="E101" s="3">
        <v>2</v>
      </c>
      <c r="F101" s="4">
        <v>200</v>
      </c>
      <c r="G101" s="8">
        <v>400</v>
      </c>
    </row>
    <row r="102" spans="1:7" x14ac:dyDescent="0.25">
      <c r="A102" s="7">
        <v>45697</v>
      </c>
      <c r="B102" s="3" t="s">
        <v>8</v>
      </c>
      <c r="C102" s="3" t="s">
        <v>15</v>
      </c>
      <c r="D102" s="3" t="s">
        <v>17</v>
      </c>
      <c r="E102" s="3">
        <v>2</v>
      </c>
      <c r="F102" s="4">
        <v>200</v>
      </c>
      <c r="G102" s="8">
        <v>400</v>
      </c>
    </row>
    <row r="103" spans="1:7" x14ac:dyDescent="0.25">
      <c r="A103" s="7">
        <v>45681</v>
      </c>
      <c r="B103" s="3" t="s">
        <v>9</v>
      </c>
      <c r="C103" s="3" t="s">
        <v>15</v>
      </c>
      <c r="D103" s="3" t="s">
        <v>18</v>
      </c>
      <c r="E103" s="3">
        <v>3</v>
      </c>
      <c r="F103" s="4">
        <v>120</v>
      </c>
      <c r="G103" s="8">
        <v>360</v>
      </c>
    </row>
    <row r="104" spans="1:7" x14ac:dyDescent="0.25">
      <c r="A104" s="7">
        <v>45664</v>
      </c>
      <c r="B104" s="3" t="s">
        <v>7</v>
      </c>
      <c r="C104" s="3" t="s">
        <v>13</v>
      </c>
      <c r="D104" s="3" t="s">
        <v>18</v>
      </c>
      <c r="E104" s="3">
        <v>3</v>
      </c>
      <c r="F104" s="4">
        <v>120</v>
      </c>
      <c r="G104" s="8">
        <v>360</v>
      </c>
    </row>
    <row r="105" spans="1:7" x14ac:dyDescent="0.25">
      <c r="A105" s="7">
        <v>45692</v>
      </c>
      <c r="B105" s="3" t="s">
        <v>11</v>
      </c>
      <c r="C105" s="3" t="s">
        <v>13</v>
      </c>
      <c r="D105" s="3" t="s">
        <v>21</v>
      </c>
      <c r="E105" s="3">
        <v>1</v>
      </c>
      <c r="F105" s="4">
        <v>350</v>
      </c>
      <c r="G105" s="8">
        <v>350</v>
      </c>
    </row>
    <row r="106" spans="1:7" x14ac:dyDescent="0.25">
      <c r="A106" s="7">
        <v>45690</v>
      </c>
      <c r="B106" s="3" t="s">
        <v>7</v>
      </c>
      <c r="C106" s="3" t="s">
        <v>14</v>
      </c>
      <c r="D106" s="3" t="s">
        <v>18</v>
      </c>
      <c r="E106" s="3">
        <v>1</v>
      </c>
      <c r="F106" s="4">
        <v>350</v>
      </c>
      <c r="G106" s="8">
        <v>350</v>
      </c>
    </row>
    <row r="107" spans="1:7" x14ac:dyDescent="0.25">
      <c r="A107" s="7">
        <v>45710</v>
      </c>
      <c r="B107" s="3" t="s">
        <v>11</v>
      </c>
      <c r="C107" s="3" t="s">
        <v>14</v>
      </c>
      <c r="D107" s="3" t="s">
        <v>19</v>
      </c>
      <c r="E107" s="3">
        <v>1</v>
      </c>
      <c r="F107" s="4">
        <v>350</v>
      </c>
      <c r="G107" s="8">
        <v>350</v>
      </c>
    </row>
    <row r="108" spans="1:7" x14ac:dyDescent="0.25">
      <c r="A108" s="7">
        <v>45689</v>
      </c>
      <c r="B108" s="3" t="s">
        <v>11</v>
      </c>
      <c r="C108" s="3" t="s">
        <v>16</v>
      </c>
      <c r="D108" s="3" t="s">
        <v>18</v>
      </c>
      <c r="E108" s="3">
        <v>1</v>
      </c>
      <c r="F108" s="4">
        <v>350</v>
      </c>
      <c r="G108" s="8">
        <v>350</v>
      </c>
    </row>
    <row r="109" spans="1:7" x14ac:dyDescent="0.25">
      <c r="A109" s="7">
        <v>45715</v>
      </c>
      <c r="B109" s="3" t="s">
        <v>12</v>
      </c>
      <c r="C109" s="3" t="s">
        <v>16</v>
      </c>
      <c r="D109" s="3" t="s">
        <v>18</v>
      </c>
      <c r="E109" s="3">
        <v>1</v>
      </c>
      <c r="F109" s="4">
        <v>350</v>
      </c>
      <c r="G109" s="8">
        <v>350</v>
      </c>
    </row>
    <row r="110" spans="1:7" x14ac:dyDescent="0.25">
      <c r="A110" s="7">
        <v>45668</v>
      </c>
      <c r="B110" s="3" t="s">
        <v>9</v>
      </c>
      <c r="C110" s="3" t="s">
        <v>15</v>
      </c>
      <c r="D110" s="3" t="s">
        <v>19</v>
      </c>
      <c r="E110" s="3">
        <v>1</v>
      </c>
      <c r="F110" s="4">
        <v>350</v>
      </c>
      <c r="G110" s="8">
        <v>350</v>
      </c>
    </row>
    <row r="111" spans="1:7" x14ac:dyDescent="0.25">
      <c r="A111" s="7">
        <v>45679</v>
      </c>
      <c r="B111" s="3" t="s">
        <v>7</v>
      </c>
      <c r="C111" s="3" t="s">
        <v>13</v>
      </c>
      <c r="D111" s="3" t="s">
        <v>17</v>
      </c>
      <c r="E111" s="3">
        <v>1</v>
      </c>
      <c r="F111" s="4">
        <v>350</v>
      </c>
      <c r="G111" s="8">
        <v>350</v>
      </c>
    </row>
    <row r="112" spans="1:7" x14ac:dyDescent="0.25">
      <c r="A112" s="7">
        <v>45702</v>
      </c>
      <c r="B112" s="3" t="s">
        <v>11</v>
      </c>
      <c r="C112" s="3" t="s">
        <v>13</v>
      </c>
      <c r="D112" s="3" t="s">
        <v>22</v>
      </c>
      <c r="E112" s="3">
        <v>1</v>
      </c>
      <c r="F112" s="4">
        <v>350</v>
      </c>
      <c r="G112" s="8">
        <v>350</v>
      </c>
    </row>
    <row r="113" spans="1:7" x14ac:dyDescent="0.25">
      <c r="A113" s="7">
        <v>45672</v>
      </c>
      <c r="B113" s="3" t="s">
        <v>11</v>
      </c>
      <c r="C113" s="3" t="s">
        <v>14</v>
      </c>
      <c r="D113" s="3" t="s">
        <v>21</v>
      </c>
      <c r="E113" s="3">
        <v>1</v>
      </c>
      <c r="F113" s="4">
        <v>350</v>
      </c>
      <c r="G113" s="8">
        <v>350</v>
      </c>
    </row>
    <row r="114" spans="1:7" x14ac:dyDescent="0.25">
      <c r="A114" s="7">
        <v>45699</v>
      </c>
      <c r="B114" s="3" t="s">
        <v>11</v>
      </c>
      <c r="C114" s="3" t="s">
        <v>16</v>
      </c>
      <c r="D114" s="3" t="s">
        <v>21</v>
      </c>
      <c r="E114" s="3">
        <v>2</v>
      </c>
      <c r="F114" s="4">
        <v>120</v>
      </c>
      <c r="G114" s="8">
        <v>240</v>
      </c>
    </row>
    <row r="115" spans="1:7" x14ac:dyDescent="0.25">
      <c r="A115" s="7">
        <v>45696</v>
      </c>
      <c r="B115" s="3" t="s">
        <v>9</v>
      </c>
      <c r="C115" s="3" t="s">
        <v>13</v>
      </c>
      <c r="D115" s="3" t="s">
        <v>20</v>
      </c>
      <c r="E115" s="3">
        <v>2</v>
      </c>
      <c r="F115" s="4">
        <v>120</v>
      </c>
      <c r="G115" s="8">
        <v>240</v>
      </c>
    </row>
    <row r="116" spans="1:7" x14ac:dyDescent="0.25">
      <c r="A116" s="7">
        <v>45717</v>
      </c>
      <c r="B116" s="3" t="s">
        <v>7</v>
      </c>
      <c r="C116" s="3" t="s">
        <v>15</v>
      </c>
      <c r="D116" s="3" t="s">
        <v>23</v>
      </c>
      <c r="E116" s="3">
        <v>2</v>
      </c>
      <c r="F116" s="4">
        <v>120</v>
      </c>
      <c r="G116" s="8">
        <v>240</v>
      </c>
    </row>
    <row r="117" spans="1:7" x14ac:dyDescent="0.25">
      <c r="A117" s="7">
        <v>45658</v>
      </c>
      <c r="B117" s="3" t="s">
        <v>9</v>
      </c>
      <c r="C117" s="3" t="s">
        <v>13</v>
      </c>
      <c r="D117" s="3" t="s">
        <v>19</v>
      </c>
      <c r="E117" s="3">
        <v>2</v>
      </c>
      <c r="F117" s="4">
        <v>120</v>
      </c>
      <c r="G117" s="8">
        <v>240</v>
      </c>
    </row>
    <row r="118" spans="1:7" x14ac:dyDescent="0.25">
      <c r="A118" s="7">
        <v>45696</v>
      </c>
      <c r="B118" s="3" t="s">
        <v>10</v>
      </c>
      <c r="C118" s="3" t="s">
        <v>13</v>
      </c>
      <c r="D118" s="3" t="s">
        <v>17</v>
      </c>
      <c r="E118" s="3">
        <v>2</v>
      </c>
      <c r="F118" s="4">
        <v>120</v>
      </c>
      <c r="G118" s="8">
        <v>240</v>
      </c>
    </row>
    <row r="119" spans="1:7" x14ac:dyDescent="0.25">
      <c r="A119" s="7">
        <v>45694</v>
      </c>
      <c r="B119" s="3" t="s">
        <v>9</v>
      </c>
      <c r="C119" s="3" t="s">
        <v>14</v>
      </c>
      <c r="D119" s="3" t="s">
        <v>21</v>
      </c>
      <c r="E119" s="3">
        <v>2</v>
      </c>
      <c r="F119" s="4">
        <v>120</v>
      </c>
      <c r="G119" s="8">
        <v>240</v>
      </c>
    </row>
    <row r="120" spans="1:7" x14ac:dyDescent="0.25">
      <c r="A120" s="7">
        <v>45712</v>
      </c>
      <c r="B120" s="3" t="s">
        <v>11</v>
      </c>
      <c r="C120" s="3" t="s">
        <v>14</v>
      </c>
      <c r="D120" s="3" t="s">
        <v>21</v>
      </c>
      <c r="E120" s="3">
        <v>1</v>
      </c>
      <c r="F120" s="4">
        <v>200</v>
      </c>
      <c r="G120" s="8">
        <v>200</v>
      </c>
    </row>
    <row r="121" spans="1:7" x14ac:dyDescent="0.25">
      <c r="A121" s="7">
        <v>45711</v>
      </c>
      <c r="B121" s="3" t="s">
        <v>10</v>
      </c>
      <c r="C121" s="3" t="s">
        <v>15</v>
      </c>
      <c r="D121" s="3" t="s">
        <v>22</v>
      </c>
      <c r="E121" s="3">
        <v>1</v>
      </c>
      <c r="F121" s="4">
        <v>200</v>
      </c>
      <c r="G121" s="8">
        <v>200</v>
      </c>
    </row>
    <row r="122" spans="1:7" x14ac:dyDescent="0.25">
      <c r="A122" s="7">
        <v>45710</v>
      </c>
      <c r="B122" s="3" t="s">
        <v>10</v>
      </c>
      <c r="C122" s="3" t="s">
        <v>16</v>
      </c>
      <c r="D122" s="3" t="s">
        <v>20</v>
      </c>
      <c r="E122" s="3">
        <v>1</v>
      </c>
      <c r="F122" s="4">
        <v>200</v>
      </c>
      <c r="G122" s="8">
        <v>200</v>
      </c>
    </row>
    <row r="123" spans="1:7" x14ac:dyDescent="0.25">
      <c r="A123" s="7">
        <v>45668</v>
      </c>
      <c r="B123" s="3" t="s">
        <v>8</v>
      </c>
      <c r="C123" s="3" t="s">
        <v>14</v>
      </c>
      <c r="D123" s="3" t="s">
        <v>19</v>
      </c>
      <c r="E123" s="3">
        <v>1</v>
      </c>
      <c r="F123" s="4">
        <v>200</v>
      </c>
      <c r="G123" s="8">
        <v>200</v>
      </c>
    </row>
    <row r="124" spans="1:7" x14ac:dyDescent="0.25">
      <c r="A124" s="7">
        <v>45713</v>
      </c>
      <c r="B124" s="3" t="s">
        <v>11</v>
      </c>
      <c r="C124" s="3" t="s">
        <v>14</v>
      </c>
      <c r="D124" s="3" t="s">
        <v>24</v>
      </c>
      <c r="E124" s="3">
        <v>1</v>
      </c>
      <c r="F124" s="4">
        <v>200</v>
      </c>
      <c r="G124" s="8">
        <v>200</v>
      </c>
    </row>
    <row r="125" spans="1:7" x14ac:dyDescent="0.25">
      <c r="A125" s="7">
        <v>45688</v>
      </c>
      <c r="B125" s="3" t="s">
        <v>11</v>
      </c>
      <c r="C125" s="3" t="s">
        <v>14</v>
      </c>
      <c r="D125" s="3" t="s">
        <v>19</v>
      </c>
      <c r="E125" s="3">
        <v>1</v>
      </c>
      <c r="F125" s="4">
        <v>120</v>
      </c>
      <c r="G125" s="8">
        <v>120</v>
      </c>
    </row>
    <row r="126" spans="1:7" x14ac:dyDescent="0.25">
      <c r="A126" s="7">
        <v>45698</v>
      </c>
      <c r="B126" s="3" t="s">
        <v>7</v>
      </c>
      <c r="C126" s="3" t="s">
        <v>13</v>
      </c>
      <c r="D126" s="3" t="s">
        <v>19</v>
      </c>
      <c r="E126" s="3">
        <v>1</v>
      </c>
      <c r="F126" s="4">
        <v>120</v>
      </c>
      <c r="G126" s="8">
        <v>120</v>
      </c>
    </row>
    <row r="127" spans="1:7" x14ac:dyDescent="0.25">
      <c r="A127" s="7">
        <v>45714</v>
      </c>
      <c r="B127" s="3" t="s">
        <v>7</v>
      </c>
      <c r="C127" s="3" t="s">
        <v>13</v>
      </c>
      <c r="D127" s="3" t="s">
        <v>22</v>
      </c>
      <c r="E127" s="3">
        <v>1</v>
      </c>
      <c r="F127" s="4">
        <v>120</v>
      </c>
      <c r="G127" s="8">
        <v>120</v>
      </c>
    </row>
    <row r="128" spans="1:7" x14ac:dyDescent="0.25">
      <c r="A128" s="7">
        <v>45714</v>
      </c>
      <c r="B128" s="3" t="s">
        <v>8</v>
      </c>
      <c r="C128" s="3" t="s">
        <v>14</v>
      </c>
      <c r="D128" s="3" t="s">
        <v>22</v>
      </c>
      <c r="E128" s="3">
        <v>1</v>
      </c>
      <c r="F128" s="4">
        <v>120</v>
      </c>
      <c r="G128" s="8">
        <v>120</v>
      </c>
    </row>
    <row r="129" spans="1:7" x14ac:dyDescent="0.25">
      <c r="A129" s="7">
        <v>45702</v>
      </c>
      <c r="B129" s="3" t="s">
        <v>9</v>
      </c>
      <c r="C129" s="3" t="s">
        <v>14</v>
      </c>
      <c r="D129" s="3" t="s">
        <v>18</v>
      </c>
      <c r="E129" s="3">
        <v>1</v>
      </c>
      <c r="F129" s="4">
        <v>120</v>
      </c>
      <c r="G129" s="8">
        <v>120</v>
      </c>
    </row>
    <row r="130" spans="1:7" x14ac:dyDescent="0.25">
      <c r="A130" s="7">
        <v>45666</v>
      </c>
      <c r="B130" s="3" t="s">
        <v>8</v>
      </c>
      <c r="C130" s="3" t="s">
        <v>13</v>
      </c>
      <c r="D130" s="3" t="s">
        <v>17</v>
      </c>
      <c r="E130" s="3">
        <v>1</v>
      </c>
      <c r="F130" s="4">
        <v>120</v>
      </c>
      <c r="G130" s="8">
        <v>120</v>
      </c>
    </row>
    <row r="131" spans="1:7" x14ac:dyDescent="0.25">
      <c r="A131" s="7">
        <v>45685</v>
      </c>
      <c r="B131" s="3" t="s">
        <v>12</v>
      </c>
      <c r="C131" s="3" t="s">
        <v>15</v>
      </c>
      <c r="D131" s="3" t="s">
        <v>17</v>
      </c>
      <c r="E131" s="3">
        <v>1</v>
      </c>
      <c r="F131" s="4">
        <v>120</v>
      </c>
      <c r="G131" s="8">
        <v>120</v>
      </c>
    </row>
    <row r="132" spans="1:7" x14ac:dyDescent="0.25">
      <c r="A132" s="7">
        <v>45689</v>
      </c>
      <c r="B132" s="3" t="s">
        <v>7</v>
      </c>
      <c r="C132" s="3" t="s">
        <v>16</v>
      </c>
      <c r="D132" s="3" t="s">
        <v>23</v>
      </c>
      <c r="E132" s="3">
        <v>5</v>
      </c>
      <c r="F132" s="4">
        <v>20</v>
      </c>
      <c r="G132" s="8">
        <v>100</v>
      </c>
    </row>
    <row r="133" spans="1:7" x14ac:dyDescent="0.25">
      <c r="A133" s="7">
        <v>45717</v>
      </c>
      <c r="B133" s="3" t="s">
        <v>12</v>
      </c>
      <c r="C133" s="3" t="s">
        <v>16</v>
      </c>
      <c r="D133" s="3" t="s">
        <v>18</v>
      </c>
      <c r="E133" s="3">
        <v>5</v>
      </c>
      <c r="F133" s="4">
        <v>20</v>
      </c>
      <c r="G133" s="8">
        <v>100</v>
      </c>
    </row>
    <row r="134" spans="1:7" x14ac:dyDescent="0.25">
      <c r="A134" s="7">
        <v>45690</v>
      </c>
      <c r="B134" s="3" t="s">
        <v>7</v>
      </c>
      <c r="C134" s="3" t="s">
        <v>14</v>
      </c>
      <c r="D134" s="3" t="s">
        <v>21</v>
      </c>
      <c r="E134" s="3">
        <v>5</v>
      </c>
      <c r="F134" s="4">
        <v>20</v>
      </c>
      <c r="G134" s="8">
        <v>100</v>
      </c>
    </row>
    <row r="135" spans="1:7" x14ac:dyDescent="0.25">
      <c r="A135" s="7">
        <v>45681</v>
      </c>
      <c r="B135" s="3" t="s">
        <v>9</v>
      </c>
      <c r="C135" s="3" t="s">
        <v>13</v>
      </c>
      <c r="D135" s="3" t="s">
        <v>24</v>
      </c>
      <c r="E135" s="3">
        <v>5</v>
      </c>
      <c r="F135" s="4">
        <v>20</v>
      </c>
      <c r="G135" s="8">
        <v>100</v>
      </c>
    </row>
    <row r="136" spans="1:7" x14ac:dyDescent="0.25">
      <c r="A136" s="7">
        <v>45692</v>
      </c>
      <c r="B136" s="3" t="s">
        <v>7</v>
      </c>
      <c r="C136" s="3" t="s">
        <v>13</v>
      </c>
      <c r="D136" s="3" t="s">
        <v>22</v>
      </c>
      <c r="E136" s="3">
        <v>5</v>
      </c>
      <c r="F136" s="4">
        <v>20</v>
      </c>
      <c r="G136" s="8">
        <v>100</v>
      </c>
    </row>
    <row r="137" spans="1:7" x14ac:dyDescent="0.25">
      <c r="A137" s="7">
        <v>45688</v>
      </c>
      <c r="B137" s="3" t="s">
        <v>8</v>
      </c>
      <c r="C137" s="3" t="s">
        <v>13</v>
      </c>
      <c r="D137" s="3" t="s">
        <v>21</v>
      </c>
      <c r="E137" s="3">
        <v>5</v>
      </c>
      <c r="F137" s="4">
        <v>20</v>
      </c>
      <c r="G137" s="8">
        <v>100</v>
      </c>
    </row>
    <row r="138" spans="1:7" x14ac:dyDescent="0.25">
      <c r="A138" s="7">
        <v>45704</v>
      </c>
      <c r="B138" s="3" t="s">
        <v>9</v>
      </c>
      <c r="C138" s="3" t="s">
        <v>15</v>
      </c>
      <c r="D138" s="3" t="s">
        <v>24</v>
      </c>
      <c r="E138" s="3">
        <v>5</v>
      </c>
      <c r="F138" s="4">
        <v>20</v>
      </c>
      <c r="G138" s="8">
        <v>100</v>
      </c>
    </row>
    <row r="139" spans="1:7" x14ac:dyDescent="0.25">
      <c r="A139" s="7">
        <v>45691</v>
      </c>
      <c r="B139" s="3" t="s">
        <v>10</v>
      </c>
      <c r="C139" s="3" t="s">
        <v>16</v>
      </c>
      <c r="D139" s="3" t="s">
        <v>20</v>
      </c>
      <c r="E139" s="3">
        <v>5</v>
      </c>
      <c r="F139" s="4">
        <v>20</v>
      </c>
      <c r="G139" s="8">
        <v>100</v>
      </c>
    </row>
    <row r="140" spans="1:7" x14ac:dyDescent="0.25">
      <c r="A140" s="7">
        <v>45717</v>
      </c>
      <c r="B140" s="3" t="s">
        <v>7</v>
      </c>
      <c r="C140" s="3" t="s">
        <v>16</v>
      </c>
      <c r="D140" s="3" t="s">
        <v>24</v>
      </c>
      <c r="E140" s="3">
        <v>5</v>
      </c>
      <c r="F140" s="4">
        <v>20</v>
      </c>
      <c r="G140" s="8">
        <v>100</v>
      </c>
    </row>
    <row r="141" spans="1:7" x14ac:dyDescent="0.25">
      <c r="A141" s="7">
        <v>45697</v>
      </c>
      <c r="B141" s="3" t="s">
        <v>11</v>
      </c>
      <c r="C141" s="3" t="s">
        <v>15</v>
      </c>
      <c r="D141" s="3" t="s">
        <v>18</v>
      </c>
      <c r="E141" s="3">
        <v>5</v>
      </c>
      <c r="F141" s="4">
        <v>20</v>
      </c>
      <c r="G141" s="8">
        <v>100</v>
      </c>
    </row>
    <row r="142" spans="1:7" x14ac:dyDescent="0.25">
      <c r="A142" s="7">
        <v>45682</v>
      </c>
      <c r="B142" s="3" t="s">
        <v>10</v>
      </c>
      <c r="C142" s="3" t="s">
        <v>15</v>
      </c>
      <c r="D142" s="3" t="s">
        <v>22</v>
      </c>
      <c r="E142" s="3">
        <v>4</v>
      </c>
      <c r="F142" s="4">
        <v>20</v>
      </c>
      <c r="G142" s="8">
        <v>80</v>
      </c>
    </row>
    <row r="143" spans="1:7" x14ac:dyDescent="0.25">
      <c r="A143" s="7">
        <v>45694</v>
      </c>
      <c r="B143" s="3" t="s">
        <v>10</v>
      </c>
      <c r="C143" s="3" t="s">
        <v>14</v>
      </c>
      <c r="D143" s="3" t="s">
        <v>20</v>
      </c>
      <c r="E143" s="3">
        <v>4</v>
      </c>
      <c r="F143" s="4">
        <v>20</v>
      </c>
      <c r="G143" s="8">
        <v>80</v>
      </c>
    </row>
    <row r="144" spans="1:7" x14ac:dyDescent="0.25">
      <c r="A144" s="7">
        <v>45683</v>
      </c>
      <c r="B144" s="3" t="s">
        <v>11</v>
      </c>
      <c r="C144" s="3" t="s">
        <v>15</v>
      </c>
      <c r="D144" s="3" t="s">
        <v>17</v>
      </c>
      <c r="E144" s="3">
        <v>4</v>
      </c>
      <c r="F144" s="4">
        <v>20</v>
      </c>
      <c r="G144" s="8">
        <v>80</v>
      </c>
    </row>
    <row r="145" spans="1:7" x14ac:dyDescent="0.25">
      <c r="A145" s="7">
        <v>45717</v>
      </c>
      <c r="B145" s="3" t="s">
        <v>9</v>
      </c>
      <c r="C145" s="3" t="s">
        <v>15</v>
      </c>
      <c r="D145" s="3" t="s">
        <v>21</v>
      </c>
      <c r="E145" s="3">
        <v>4</v>
      </c>
      <c r="F145" s="4">
        <v>20</v>
      </c>
      <c r="G145" s="8">
        <v>80</v>
      </c>
    </row>
    <row r="146" spans="1:7" x14ac:dyDescent="0.25">
      <c r="A146" s="7">
        <v>45665</v>
      </c>
      <c r="B146" s="3" t="s">
        <v>11</v>
      </c>
      <c r="C146" s="3" t="s">
        <v>15</v>
      </c>
      <c r="D146" s="3" t="s">
        <v>24</v>
      </c>
      <c r="E146" s="3">
        <v>4</v>
      </c>
      <c r="F146" s="4">
        <v>20</v>
      </c>
      <c r="G146" s="8">
        <v>80</v>
      </c>
    </row>
    <row r="147" spans="1:7" x14ac:dyDescent="0.25">
      <c r="A147" s="7">
        <v>45664</v>
      </c>
      <c r="B147" s="3" t="s">
        <v>7</v>
      </c>
      <c r="C147" s="3" t="s">
        <v>16</v>
      </c>
      <c r="D147" s="3" t="s">
        <v>17</v>
      </c>
      <c r="E147" s="3">
        <v>4</v>
      </c>
      <c r="F147" s="4">
        <v>20</v>
      </c>
      <c r="G147" s="8">
        <v>80</v>
      </c>
    </row>
    <row r="148" spans="1:7" x14ac:dyDescent="0.25">
      <c r="A148" s="7">
        <v>45701</v>
      </c>
      <c r="B148" s="3" t="s">
        <v>9</v>
      </c>
      <c r="C148" s="3" t="s">
        <v>16</v>
      </c>
      <c r="D148" s="3" t="s">
        <v>20</v>
      </c>
      <c r="E148" s="3">
        <v>4</v>
      </c>
      <c r="F148" s="4">
        <v>20</v>
      </c>
      <c r="G148" s="8">
        <v>80</v>
      </c>
    </row>
    <row r="149" spans="1:7" x14ac:dyDescent="0.25">
      <c r="A149" s="7">
        <v>45678</v>
      </c>
      <c r="B149" s="3" t="s">
        <v>8</v>
      </c>
      <c r="C149" s="3" t="s">
        <v>14</v>
      </c>
      <c r="D149" s="3" t="s">
        <v>17</v>
      </c>
      <c r="E149" s="3">
        <v>3</v>
      </c>
      <c r="F149" s="4">
        <v>20</v>
      </c>
      <c r="G149" s="8">
        <v>60</v>
      </c>
    </row>
    <row r="150" spans="1:7" x14ac:dyDescent="0.25">
      <c r="A150" s="7">
        <v>45686</v>
      </c>
      <c r="B150" s="3" t="s">
        <v>7</v>
      </c>
      <c r="C150" s="3" t="s">
        <v>13</v>
      </c>
      <c r="D150" s="3" t="s">
        <v>18</v>
      </c>
      <c r="E150" s="3">
        <v>3</v>
      </c>
      <c r="F150" s="4">
        <v>20</v>
      </c>
      <c r="G150" s="8">
        <v>60</v>
      </c>
    </row>
    <row r="151" spans="1:7" x14ac:dyDescent="0.25">
      <c r="A151" s="7">
        <v>45678</v>
      </c>
      <c r="B151" s="3" t="s">
        <v>8</v>
      </c>
      <c r="C151" s="3" t="s">
        <v>14</v>
      </c>
      <c r="D151" s="3" t="s">
        <v>22</v>
      </c>
      <c r="E151" s="3">
        <v>3</v>
      </c>
      <c r="F151" s="4">
        <v>20</v>
      </c>
      <c r="G151" s="8">
        <v>60</v>
      </c>
    </row>
    <row r="152" spans="1:7" x14ac:dyDescent="0.25">
      <c r="A152" s="7">
        <v>45695</v>
      </c>
      <c r="B152" s="3" t="s">
        <v>8</v>
      </c>
      <c r="C152" s="3" t="s">
        <v>16</v>
      </c>
      <c r="D152" s="3" t="s">
        <v>20</v>
      </c>
      <c r="E152" s="3">
        <v>3</v>
      </c>
      <c r="F152" s="4">
        <v>20</v>
      </c>
      <c r="G152" s="8">
        <v>60</v>
      </c>
    </row>
    <row r="153" spans="1:7" x14ac:dyDescent="0.25">
      <c r="A153" s="7">
        <v>45710</v>
      </c>
      <c r="B153" s="3" t="s">
        <v>8</v>
      </c>
      <c r="C153" s="3" t="s">
        <v>13</v>
      </c>
      <c r="D153" s="3" t="s">
        <v>24</v>
      </c>
      <c r="E153" s="3">
        <v>3</v>
      </c>
      <c r="F153" s="4">
        <v>20</v>
      </c>
      <c r="G153" s="8">
        <v>60</v>
      </c>
    </row>
    <row r="154" spans="1:7" x14ac:dyDescent="0.25">
      <c r="A154" s="7">
        <v>45681</v>
      </c>
      <c r="B154" s="3" t="s">
        <v>8</v>
      </c>
      <c r="C154" s="3" t="s">
        <v>13</v>
      </c>
      <c r="D154" s="3" t="s">
        <v>20</v>
      </c>
      <c r="E154" s="3">
        <v>3</v>
      </c>
      <c r="F154" s="4">
        <v>20</v>
      </c>
      <c r="G154" s="8">
        <v>60</v>
      </c>
    </row>
    <row r="155" spans="1:7" x14ac:dyDescent="0.25">
      <c r="A155" s="7">
        <v>45702</v>
      </c>
      <c r="B155" s="3" t="s">
        <v>8</v>
      </c>
      <c r="C155" s="3" t="s">
        <v>16</v>
      </c>
      <c r="D155" s="3" t="s">
        <v>24</v>
      </c>
      <c r="E155" s="3">
        <v>3</v>
      </c>
      <c r="F155" s="4">
        <v>20</v>
      </c>
      <c r="G155" s="8">
        <v>60</v>
      </c>
    </row>
    <row r="156" spans="1:7" x14ac:dyDescent="0.25">
      <c r="A156" s="7">
        <v>45709</v>
      </c>
      <c r="B156" s="3" t="s">
        <v>8</v>
      </c>
      <c r="C156" s="3" t="s">
        <v>15</v>
      </c>
      <c r="D156" s="3" t="s">
        <v>20</v>
      </c>
      <c r="E156" s="3">
        <v>3</v>
      </c>
      <c r="F156" s="4">
        <v>20</v>
      </c>
      <c r="G156" s="8">
        <v>60</v>
      </c>
    </row>
    <row r="157" spans="1:7" x14ac:dyDescent="0.25">
      <c r="A157" s="7">
        <v>45678</v>
      </c>
      <c r="B157" s="3" t="s">
        <v>10</v>
      </c>
      <c r="C157" s="3" t="s">
        <v>15</v>
      </c>
      <c r="D157" s="3" t="s">
        <v>20</v>
      </c>
      <c r="E157" s="3">
        <v>5</v>
      </c>
      <c r="F157" s="4">
        <v>10</v>
      </c>
      <c r="G157" s="8">
        <v>50</v>
      </c>
    </row>
    <row r="158" spans="1:7" x14ac:dyDescent="0.25">
      <c r="A158" s="7">
        <v>45658</v>
      </c>
      <c r="B158" s="3" t="s">
        <v>12</v>
      </c>
      <c r="C158" s="3" t="s">
        <v>16</v>
      </c>
      <c r="D158" s="3" t="s">
        <v>20</v>
      </c>
      <c r="E158" s="3">
        <v>5</v>
      </c>
      <c r="F158" s="4">
        <v>10</v>
      </c>
      <c r="G158" s="8">
        <v>50</v>
      </c>
    </row>
    <row r="159" spans="1:7" x14ac:dyDescent="0.25">
      <c r="A159" s="7">
        <v>45713</v>
      </c>
      <c r="B159" s="3" t="s">
        <v>12</v>
      </c>
      <c r="C159" s="3" t="s">
        <v>13</v>
      </c>
      <c r="D159" s="3" t="s">
        <v>17</v>
      </c>
      <c r="E159" s="3">
        <v>5</v>
      </c>
      <c r="F159" s="4">
        <v>10</v>
      </c>
      <c r="G159" s="8">
        <v>50</v>
      </c>
    </row>
    <row r="160" spans="1:7" x14ac:dyDescent="0.25">
      <c r="A160" s="7">
        <v>45701</v>
      </c>
      <c r="B160" s="3" t="s">
        <v>9</v>
      </c>
      <c r="C160" s="3" t="s">
        <v>14</v>
      </c>
      <c r="D160" s="3" t="s">
        <v>19</v>
      </c>
      <c r="E160" s="3">
        <v>5</v>
      </c>
      <c r="F160" s="4">
        <v>10</v>
      </c>
      <c r="G160" s="8">
        <v>50</v>
      </c>
    </row>
    <row r="161" spans="1:7" x14ac:dyDescent="0.25">
      <c r="A161" s="7">
        <v>45669</v>
      </c>
      <c r="B161" s="3" t="s">
        <v>8</v>
      </c>
      <c r="C161" s="3" t="s">
        <v>16</v>
      </c>
      <c r="D161" s="3" t="s">
        <v>18</v>
      </c>
      <c r="E161" s="3">
        <v>5</v>
      </c>
      <c r="F161" s="4">
        <v>10</v>
      </c>
      <c r="G161" s="8">
        <v>50</v>
      </c>
    </row>
    <row r="162" spans="1:7" x14ac:dyDescent="0.25">
      <c r="A162" s="7">
        <v>45683</v>
      </c>
      <c r="B162" s="3" t="s">
        <v>9</v>
      </c>
      <c r="C162" s="3" t="s">
        <v>16</v>
      </c>
      <c r="D162" s="3" t="s">
        <v>19</v>
      </c>
      <c r="E162" s="3">
        <v>4</v>
      </c>
      <c r="F162" s="4">
        <v>10</v>
      </c>
      <c r="G162" s="8">
        <v>40</v>
      </c>
    </row>
    <row r="163" spans="1:7" x14ac:dyDescent="0.25">
      <c r="A163" s="7">
        <v>45681</v>
      </c>
      <c r="B163" s="3" t="s">
        <v>8</v>
      </c>
      <c r="C163" s="3" t="s">
        <v>13</v>
      </c>
      <c r="D163" s="3" t="s">
        <v>19</v>
      </c>
      <c r="E163" s="3">
        <v>4</v>
      </c>
      <c r="F163" s="4">
        <v>10</v>
      </c>
      <c r="G163" s="8">
        <v>40</v>
      </c>
    </row>
    <row r="164" spans="1:7" x14ac:dyDescent="0.25">
      <c r="A164" s="7">
        <v>45714</v>
      </c>
      <c r="B164" s="3" t="s">
        <v>9</v>
      </c>
      <c r="C164" s="3" t="s">
        <v>16</v>
      </c>
      <c r="D164" s="3" t="s">
        <v>19</v>
      </c>
      <c r="E164" s="3">
        <v>4</v>
      </c>
      <c r="F164" s="4">
        <v>10</v>
      </c>
      <c r="G164" s="8">
        <v>40</v>
      </c>
    </row>
    <row r="165" spans="1:7" x14ac:dyDescent="0.25">
      <c r="A165" s="7">
        <v>45709</v>
      </c>
      <c r="B165" s="3" t="s">
        <v>7</v>
      </c>
      <c r="C165" s="3" t="s">
        <v>16</v>
      </c>
      <c r="D165" s="3" t="s">
        <v>17</v>
      </c>
      <c r="E165" s="3">
        <v>2</v>
      </c>
      <c r="F165" s="4">
        <v>20</v>
      </c>
      <c r="G165" s="8">
        <v>40</v>
      </c>
    </row>
    <row r="166" spans="1:7" x14ac:dyDescent="0.25">
      <c r="A166" s="7">
        <v>45714</v>
      </c>
      <c r="B166" s="3" t="s">
        <v>10</v>
      </c>
      <c r="C166" s="3" t="s">
        <v>16</v>
      </c>
      <c r="D166" s="3" t="s">
        <v>17</v>
      </c>
      <c r="E166" s="3">
        <v>2</v>
      </c>
      <c r="F166" s="4">
        <v>20</v>
      </c>
      <c r="G166" s="8">
        <v>40</v>
      </c>
    </row>
    <row r="167" spans="1:7" x14ac:dyDescent="0.25">
      <c r="A167" s="7">
        <v>45711</v>
      </c>
      <c r="B167" s="3" t="s">
        <v>9</v>
      </c>
      <c r="C167" s="3" t="s">
        <v>16</v>
      </c>
      <c r="D167" s="3" t="s">
        <v>17</v>
      </c>
      <c r="E167" s="3">
        <v>2</v>
      </c>
      <c r="F167" s="4">
        <v>20</v>
      </c>
      <c r="G167" s="8">
        <v>40</v>
      </c>
    </row>
    <row r="168" spans="1:7" x14ac:dyDescent="0.25">
      <c r="A168" s="7">
        <v>45694</v>
      </c>
      <c r="B168" s="3" t="s">
        <v>10</v>
      </c>
      <c r="C168" s="3" t="s">
        <v>15</v>
      </c>
      <c r="D168" s="3" t="s">
        <v>23</v>
      </c>
      <c r="E168" s="3">
        <v>4</v>
      </c>
      <c r="F168" s="4">
        <v>10</v>
      </c>
      <c r="G168" s="8">
        <v>40</v>
      </c>
    </row>
    <row r="169" spans="1:7" x14ac:dyDescent="0.25">
      <c r="A169" s="7">
        <v>45668</v>
      </c>
      <c r="B169" s="3" t="s">
        <v>7</v>
      </c>
      <c r="C169" s="3" t="s">
        <v>16</v>
      </c>
      <c r="D169" s="3" t="s">
        <v>18</v>
      </c>
      <c r="E169" s="3">
        <v>4</v>
      </c>
      <c r="F169" s="4">
        <v>10</v>
      </c>
      <c r="G169" s="8">
        <v>40</v>
      </c>
    </row>
    <row r="170" spans="1:7" x14ac:dyDescent="0.25">
      <c r="A170" s="7">
        <v>45670</v>
      </c>
      <c r="B170" s="3" t="s">
        <v>11</v>
      </c>
      <c r="C170" s="3" t="s">
        <v>14</v>
      </c>
      <c r="D170" s="3" t="s">
        <v>23</v>
      </c>
      <c r="E170" s="3">
        <v>2</v>
      </c>
      <c r="F170" s="4">
        <v>20</v>
      </c>
      <c r="G170" s="8">
        <v>40</v>
      </c>
    </row>
    <row r="171" spans="1:7" x14ac:dyDescent="0.25">
      <c r="A171" s="7">
        <v>45662</v>
      </c>
      <c r="B171" s="3" t="s">
        <v>10</v>
      </c>
      <c r="C171" s="3" t="s">
        <v>16</v>
      </c>
      <c r="D171" s="3" t="s">
        <v>20</v>
      </c>
      <c r="E171" s="3">
        <v>2</v>
      </c>
      <c r="F171" s="4">
        <v>20</v>
      </c>
      <c r="G171" s="8">
        <v>40</v>
      </c>
    </row>
    <row r="172" spans="1:7" x14ac:dyDescent="0.25">
      <c r="A172" s="7">
        <v>45717</v>
      </c>
      <c r="B172" s="3" t="s">
        <v>11</v>
      </c>
      <c r="C172" s="3" t="s">
        <v>16</v>
      </c>
      <c r="D172" s="3" t="s">
        <v>17</v>
      </c>
      <c r="E172" s="3">
        <v>3</v>
      </c>
      <c r="F172" s="4">
        <v>10</v>
      </c>
      <c r="G172" s="8">
        <v>30</v>
      </c>
    </row>
    <row r="173" spans="1:7" x14ac:dyDescent="0.25">
      <c r="A173" s="7">
        <v>45705</v>
      </c>
      <c r="B173" s="3" t="s">
        <v>11</v>
      </c>
      <c r="C173" s="3" t="s">
        <v>15</v>
      </c>
      <c r="D173" s="3" t="s">
        <v>23</v>
      </c>
      <c r="E173" s="3">
        <v>3</v>
      </c>
      <c r="F173" s="4">
        <v>10</v>
      </c>
      <c r="G173" s="8">
        <v>30</v>
      </c>
    </row>
    <row r="174" spans="1:7" x14ac:dyDescent="0.25">
      <c r="A174" s="7">
        <v>45690</v>
      </c>
      <c r="B174" s="3" t="s">
        <v>8</v>
      </c>
      <c r="C174" s="3" t="s">
        <v>15</v>
      </c>
      <c r="D174" s="3" t="s">
        <v>22</v>
      </c>
      <c r="E174" s="3">
        <v>3</v>
      </c>
      <c r="F174" s="4">
        <v>10</v>
      </c>
      <c r="G174" s="8">
        <v>30</v>
      </c>
    </row>
    <row r="175" spans="1:7" x14ac:dyDescent="0.25">
      <c r="A175" s="7">
        <v>45679</v>
      </c>
      <c r="B175" s="3" t="s">
        <v>10</v>
      </c>
      <c r="C175" s="3" t="s">
        <v>15</v>
      </c>
      <c r="D175" s="3" t="s">
        <v>20</v>
      </c>
      <c r="E175" s="3">
        <v>3</v>
      </c>
      <c r="F175" s="4">
        <v>10</v>
      </c>
      <c r="G175" s="8">
        <v>30</v>
      </c>
    </row>
    <row r="176" spans="1:7" x14ac:dyDescent="0.25">
      <c r="A176" s="7">
        <v>45717</v>
      </c>
      <c r="B176" s="3" t="s">
        <v>9</v>
      </c>
      <c r="C176" s="3" t="s">
        <v>15</v>
      </c>
      <c r="D176" s="3" t="s">
        <v>21</v>
      </c>
      <c r="E176" s="3">
        <v>3</v>
      </c>
      <c r="F176" s="4">
        <v>10</v>
      </c>
      <c r="G176" s="8">
        <v>30</v>
      </c>
    </row>
    <row r="177" spans="1:7" x14ac:dyDescent="0.25">
      <c r="A177" s="7">
        <v>45664</v>
      </c>
      <c r="B177" s="3" t="s">
        <v>12</v>
      </c>
      <c r="C177" s="3" t="s">
        <v>14</v>
      </c>
      <c r="D177" s="3" t="s">
        <v>17</v>
      </c>
      <c r="E177" s="3">
        <v>3</v>
      </c>
      <c r="F177" s="4">
        <v>10</v>
      </c>
      <c r="G177" s="8">
        <v>30</v>
      </c>
    </row>
    <row r="178" spans="1:7" x14ac:dyDescent="0.25">
      <c r="A178" s="7">
        <v>45710</v>
      </c>
      <c r="B178" s="3" t="s">
        <v>8</v>
      </c>
      <c r="C178" s="3" t="s">
        <v>15</v>
      </c>
      <c r="D178" s="3" t="s">
        <v>19</v>
      </c>
      <c r="E178" s="3">
        <v>2</v>
      </c>
      <c r="F178" s="4">
        <v>10</v>
      </c>
      <c r="G178" s="8">
        <v>20</v>
      </c>
    </row>
    <row r="179" spans="1:7" x14ac:dyDescent="0.25">
      <c r="A179" s="7">
        <v>45682</v>
      </c>
      <c r="B179" s="3" t="s">
        <v>10</v>
      </c>
      <c r="C179" s="3" t="s">
        <v>14</v>
      </c>
      <c r="D179" s="3" t="s">
        <v>21</v>
      </c>
      <c r="E179" s="3">
        <v>2</v>
      </c>
      <c r="F179" s="4">
        <v>10</v>
      </c>
      <c r="G179" s="8">
        <v>20</v>
      </c>
    </row>
    <row r="180" spans="1:7" x14ac:dyDescent="0.25">
      <c r="A180" s="7">
        <v>45708</v>
      </c>
      <c r="B180" s="3" t="s">
        <v>9</v>
      </c>
      <c r="C180" s="3" t="s">
        <v>13</v>
      </c>
      <c r="D180" s="3" t="s">
        <v>17</v>
      </c>
      <c r="E180" s="3">
        <v>2</v>
      </c>
      <c r="F180" s="4">
        <v>10</v>
      </c>
      <c r="G180" s="8">
        <v>20</v>
      </c>
    </row>
    <row r="181" spans="1:7" x14ac:dyDescent="0.25">
      <c r="A181" s="7">
        <v>45697</v>
      </c>
      <c r="B181" s="3" t="s">
        <v>11</v>
      </c>
      <c r="C181" s="3" t="s">
        <v>14</v>
      </c>
      <c r="D181" s="3" t="s">
        <v>21</v>
      </c>
      <c r="E181" s="3">
        <v>1</v>
      </c>
      <c r="F181" s="4">
        <v>20</v>
      </c>
      <c r="G181" s="8">
        <v>20</v>
      </c>
    </row>
    <row r="182" spans="1:7" x14ac:dyDescent="0.25">
      <c r="A182" s="7">
        <v>45706</v>
      </c>
      <c r="B182" s="3" t="s">
        <v>9</v>
      </c>
      <c r="C182" s="3" t="s">
        <v>13</v>
      </c>
      <c r="D182" s="3" t="s">
        <v>18</v>
      </c>
      <c r="E182" s="3">
        <v>1</v>
      </c>
      <c r="F182" s="4">
        <v>20</v>
      </c>
      <c r="G182" s="8">
        <v>20</v>
      </c>
    </row>
    <row r="183" spans="1:7" x14ac:dyDescent="0.25">
      <c r="A183" s="7">
        <v>45694</v>
      </c>
      <c r="B183" s="3" t="s">
        <v>12</v>
      </c>
      <c r="C183" s="3" t="s">
        <v>14</v>
      </c>
      <c r="D183" s="3" t="s">
        <v>22</v>
      </c>
      <c r="E183" s="3">
        <v>1</v>
      </c>
      <c r="F183" s="4">
        <v>20</v>
      </c>
      <c r="G183" s="8">
        <v>20</v>
      </c>
    </row>
    <row r="184" spans="1:7" x14ac:dyDescent="0.25">
      <c r="A184" s="7">
        <v>45683</v>
      </c>
      <c r="B184" s="3" t="s">
        <v>10</v>
      </c>
      <c r="C184" s="3" t="s">
        <v>15</v>
      </c>
      <c r="D184" s="3" t="s">
        <v>22</v>
      </c>
      <c r="E184" s="3">
        <v>1</v>
      </c>
      <c r="F184" s="4">
        <v>20</v>
      </c>
      <c r="G184" s="8">
        <v>20</v>
      </c>
    </row>
    <row r="185" spans="1:7" x14ac:dyDescent="0.25">
      <c r="A185" s="7">
        <v>45714</v>
      </c>
      <c r="B185" s="3" t="s">
        <v>7</v>
      </c>
      <c r="C185" s="3" t="s">
        <v>16</v>
      </c>
      <c r="D185" s="3" t="s">
        <v>23</v>
      </c>
      <c r="E185" s="3">
        <v>1</v>
      </c>
      <c r="F185" s="4">
        <v>20</v>
      </c>
      <c r="G185" s="8">
        <v>20</v>
      </c>
    </row>
    <row r="186" spans="1:7" x14ac:dyDescent="0.25">
      <c r="A186" s="7">
        <v>45658</v>
      </c>
      <c r="B186" s="3" t="s">
        <v>8</v>
      </c>
      <c r="C186" s="3" t="s">
        <v>15</v>
      </c>
      <c r="D186" s="3" t="s">
        <v>17</v>
      </c>
      <c r="E186" s="3">
        <v>1</v>
      </c>
      <c r="F186" s="4">
        <v>20</v>
      </c>
      <c r="G186" s="8">
        <v>20</v>
      </c>
    </row>
    <row r="187" spans="1:7" x14ac:dyDescent="0.25">
      <c r="A187" s="7">
        <v>45706</v>
      </c>
      <c r="B187" s="3" t="s">
        <v>9</v>
      </c>
      <c r="C187" s="3" t="s">
        <v>13</v>
      </c>
      <c r="D187" s="3" t="s">
        <v>20</v>
      </c>
      <c r="E187" s="3">
        <v>1</v>
      </c>
      <c r="F187" s="4">
        <v>20</v>
      </c>
      <c r="G187" s="8">
        <v>20</v>
      </c>
    </row>
    <row r="188" spans="1:7" x14ac:dyDescent="0.25">
      <c r="A188" s="7">
        <v>45678</v>
      </c>
      <c r="B188" s="3" t="s">
        <v>11</v>
      </c>
      <c r="C188" s="3" t="s">
        <v>13</v>
      </c>
      <c r="D188" s="3" t="s">
        <v>24</v>
      </c>
      <c r="E188" s="3">
        <v>1</v>
      </c>
      <c r="F188" s="4">
        <v>20</v>
      </c>
      <c r="G188" s="8">
        <v>20</v>
      </c>
    </row>
    <row r="189" spans="1:7" x14ac:dyDescent="0.25">
      <c r="A189" s="7">
        <v>45705</v>
      </c>
      <c r="B189" s="3" t="s">
        <v>12</v>
      </c>
      <c r="C189" s="3" t="s">
        <v>14</v>
      </c>
      <c r="D189" s="3" t="s">
        <v>17</v>
      </c>
      <c r="E189" s="3">
        <v>1</v>
      </c>
      <c r="F189" s="4">
        <v>20</v>
      </c>
      <c r="G189" s="8">
        <v>20</v>
      </c>
    </row>
    <row r="190" spans="1:7" x14ac:dyDescent="0.25">
      <c r="A190" s="7">
        <v>45711</v>
      </c>
      <c r="B190" s="3" t="s">
        <v>7</v>
      </c>
      <c r="C190" s="3" t="s">
        <v>15</v>
      </c>
      <c r="D190" s="3" t="s">
        <v>19</v>
      </c>
      <c r="E190" s="3">
        <v>1</v>
      </c>
      <c r="F190" s="4">
        <v>20</v>
      </c>
      <c r="G190" s="8">
        <v>20</v>
      </c>
    </row>
    <row r="191" spans="1:7" x14ac:dyDescent="0.25">
      <c r="A191" s="7">
        <v>45683</v>
      </c>
      <c r="B191" s="3" t="s">
        <v>7</v>
      </c>
      <c r="C191" s="3" t="s">
        <v>13</v>
      </c>
      <c r="D191" s="3" t="s">
        <v>18</v>
      </c>
      <c r="E191" s="3">
        <v>1</v>
      </c>
      <c r="F191" s="4">
        <v>20</v>
      </c>
      <c r="G191" s="8">
        <v>20</v>
      </c>
    </row>
    <row r="192" spans="1:7" x14ac:dyDescent="0.25">
      <c r="A192" s="7">
        <v>45668</v>
      </c>
      <c r="B192" s="3" t="s">
        <v>11</v>
      </c>
      <c r="C192" s="3" t="s">
        <v>16</v>
      </c>
      <c r="D192" s="3" t="s">
        <v>24</v>
      </c>
      <c r="E192" s="3">
        <v>1</v>
      </c>
      <c r="F192" s="4">
        <v>20</v>
      </c>
      <c r="G192" s="8">
        <v>20</v>
      </c>
    </row>
    <row r="193" spans="1:7" x14ac:dyDescent="0.25">
      <c r="A193" s="7">
        <v>45708</v>
      </c>
      <c r="B193" s="3" t="s">
        <v>9</v>
      </c>
      <c r="C193" s="3" t="s">
        <v>15</v>
      </c>
      <c r="D193" s="3" t="s">
        <v>18</v>
      </c>
      <c r="E193" s="3">
        <v>2</v>
      </c>
      <c r="F193" s="4">
        <v>10</v>
      </c>
      <c r="G193" s="8">
        <v>20</v>
      </c>
    </row>
    <row r="194" spans="1:7" x14ac:dyDescent="0.25">
      <c r="A194" s="7">
        <v>45701</v>
      </c>
      <c r="B194" s="3" t="s">
        <v>8</v>
      </c>
      <c r="C194" s="3" t="s">
        <v>13</v>
      </c>
      <c r="D194" s="3" t="s">
        <v>18</v>
      </c>
      <c r="E194" s="3">
        <v>2</v>
      </c>
      <c r="F194" s="4">
        <v>10</v>
      </c>
      <c r="G194" s="8">
        <v>20</v>
      </c>
    </row>
    <row r="195" spans="1:7" x14ac:dyDescent="0.25">
      <c r="A195" s="7">
        <v>45658</v>
      </c>
      <c r="B195" s="3" t="s">
        <v>9</v>
      </c>
      <c r="C195" s="3" t="s">
        <v>13</v>
      </c>
      <c r="D195" s="3" t="s">
        <v>22</v>
      </c>
      <c r="E195" s="3">
        <v>1</v>
      </c>
      <c r="F195" s="4">
        <v>20</v>
      </c>
      <c r="G195" s="8">
        <v>20</v>
      </c>
    </row>
    <row r="196" spans="1:7" x14ac:dyDescent="0.25">
      <c r="A196" s="7">
        <v>45699</v>
      </c>
      <c r="B196" s="3" t="s">
        <v>7</v>
      </c>
      <c r="C196" s="3" t="s">
        <v>13</v>
      </c>
      <c r="D196" s="3" t="s">
        <v>21</v>
      </c>
      <c r="E196" s="3">
        <v>1</v>
      </c>
      <c r="F196" s="4">
        <v>10</v>
      </c>
      <c r="G196" s="8">
        <v>10</v>
      </c>
    </row>
    <row r="197" spans="1:7" x14ac:dyDescent="0.25">
      <c r="A197" s="7">
        <v>45664</v>
      </c>
      <c r="B197" s="3" t="s">
        <v>7</v>
      </c>
      <c r="C197" s="3" t="s">
        <v>15</v>
      </c>
      <c r="D197" s="3" t="s">
        <v>20</v>
      </c>
      <c r="E197" s="3">
        <v>1</v>
      </c>
      <c r="F197" s="4">
        <v>10</v>
      </c>
      <c r="G197" s="8">
        <v>10</v>
      </c>
    </row>
    <row r="198" spans="1:7" x14ac:dyDescent="0.25">
      <c r="A198" s="7">
        <v>45676</v>
      </c>
      <c r="B198" s="3" t="s">
        <v>12</v>
      </c>
      <c r="C198" s="3" t="s">
        <v>15</v>
      </c>
      <c r="D198" s="3" t="s">
        <v>18</v>
      </c>
      <c r="E198" s="3">
        <v>1</v>
      </c>
      <c r="F198" s="4">
        <v>10</v>
      </c>
      <c r="G198" s="8">
        <v>10</v>
      </c>
    </row>
    <row r="199" spans="1:7" x14ac:dyDescent="0.25">
      <c r="A199" s="7">
        <v>45683</v>
      </c>
      <c r="B199" s="3" t="s">
        <v>9</v>
      </c>
      <c r="C199" s="3" t="s">
        <v>16</v>
      </c>
      <c r="D199" s="3" t="s">
        <v>17</v>
      </c>
      <c r="E199" s="3">
        <v>1</v>
      </c>
      <c r="F199" s="4">
        <v>10</v>
      </c>
      <c r="G199" s="8">
        <v>10</v>
      </c>
    </row>
    <row r="200" spans="1:7" x14ac:dyDescent="0.25">
      <c r="A200" s="7">
        <v>45679</v>
      </c>
      <c r="B200" s="3" t="s">
        <v>9</v>
      </c>
      <c r="C200" s="3" t="s">
        <v>14</v>
      </c>
      <c r="D200" s="3" t="s">
        <v>21</v>
      </c>
      <c r="E200" s="3">
        <v>1</v>
      </c>
      <c r="F200" s="4">
        <v>10</v>
      </c>
      <c r="G200" s="8">
        <v>10</v>
      </c>
    </row>
    <row r="201" spans="1:7" x14ac:dyDescent="0.25">
      <c r="A201" s="13">
        <v>45691</v>
      </c>
      <c r="B201" s="14" t="s">
        <v>7</v>
      </c>
      <c r="C201" s="14" t="s">
        <v>13</v>
      </c>
      <c r="D201" s="14" t="s">
        <v>24</v>
      </c>
      <c r="E201" s="14">
        <v>1</v>
      </c>
      <c r="F201" s="15">
        <v>10</v>
      </c>
      <c r="G201" s="16">
        <v>10</v>
      </c>
    </row>
  </sheetData>
  <sortState ref="A2:G201">
    <sortCondition descending="1" ref="G1"/>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33"/>
  <sheetViews>
    <sheetView workbookViewId="0">
      <selection activeCell="D29" sqref="D29"/>
    </sheetView>
  </sheetViews>
  <sheetFormatPr defaultRowHeight="15" x14ac:dyDescent="0.25"/>
  <cols>
    <col min="5" max="5" width="10.7109375" bestFit="1" customWidth="1"/>
    <col min="10" max="10" width="10.140625" bestFit="1" customWidth="1"/>
  </cols>
  <sheetData>
    <row r="2" spans="1:5" ht="18.75" x14ac:dyDescent="0.3">
      <c r="E2" s="38" t="s">
        <v>53</v>
      </c>
    </row>
    <row r="3" spans="1:5" ht="15.75" x14ac:dyDescent="0.25">
      <c r="A3" s="45" t="s">
        <v>54</v>
      </c>
    </row>
    <row r="4" spans="1:5" x14ac:dyDescent="0.25">
      <c r="A4" t="s">
        <v>42</v>
      </c>
    </row>
    <row r="5" spans="1:5" x14ac:dyDescent="0.25">
      <c r="A5" t="s">
        <v>41</v>
      </c>
    </row>
    <row r="6" spans="1:5" x14ac:dyDescent="0.25">
      <c r="A6" t="s">
        <v>43</v>
      </c>
    </row>
    <row r="7" spans="1:5" x14ac:dyDescent="0.25">
      <c r="A7" t="s">
        <v>44</v>
      </c>
    </row>
    <row r="8" spans="1:5" x14ac:dyDescent="0.25">
      <c r="A8" t="s">
        <v>45</v>
      </c>
    </row>
    <row r="9" spans="1:5" x14ac:dyDescent="0.25">
      <c r="A9" t="s">
        <v>46</v>
      </c>
    </row>
    <row r="11" spans="1:5" ht="15.75" x14ac:dyDescent="0.25">
      <c r="A11" s="45" t="s">
        <v>55</v>
      </c>
    </row>
    <row r="12" spans="1:5" x14ac:dyDescent="0.25">
      <c r="A12" t="s">
        <v>47</v>
      </c>
    </row>
    <row r="13" spans="1:5" x14ac:dyDescent="0.25">
      <c r="A13" t="s">
        <v>48</v>
      </c>
    </row>
    <row r="14" spans="1:5" x14ac:dyDescent="0.25">
      <c r="A14" t="s">
        <v>49</v>
      </c>
    </row>
    <row r="16" spans="1:5" ht="15.75" x14ac:dyDescent="0.25">
      <c r="A16" s="45" t="s">
        <v>56</v>
      </c>
    </row>
    <row r="17" spans="1:13" x14ac:dyDescent="0.25">
      <c r="A17" t="s">
        <v>50</v>
      </c>
    </row>
    <row r="18" spans="1:13" x14ac:dyDescent="0.25">
      <c r="A18" t="s">
        <v>51</v>
      </c>
    </row>
    <row r="19" spans="1:13" x14ac:dyDescent="0.25">
      <c r="A19" t="s">
        <v>52</v>
      </c>
    </row>
    <row r="28" spans="1:13" x14ac:dyDescent="0.25">
      <c r="L28" s="35"/>
      <c r="M28" s="36"/>
    </row>
    <row r="29" spans="1:13" x14ac:dyDescent="0.25">
      <c r="L29" s="35"/>
      <c r="M29" s="36"/>
    </row>
    <row r="30" spans="1:13" x14ac:dyDescent="0.25">
      <c r="L30" s="35"/>
      <c r="M30" s="36"/>
    </row>
    <row r="31" spans="1:13" x14ac:dyDescent="0.25">
      <c r="L31" s="35"/>
      <c r="M31" s="36"/>
    </row>
    <row r="32" spans="1:13" x14ac:dyDescent="0.25">
      <c r="L32" s="35"/>
      <c r="M32" s="36"/>
    </row>
    <row r="33" spans="12:13" x14ac:dyDescent="0.25">
      <c r="L33" s="37"/>
      <c r="M33" s="3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F4:H35"/>
  <sheetViews>
    <sheetView view="pageBreakPreview" zoomScale="55" zoomScaleNormal="70" zoomScaleSheetLayoutView="55" workbookViewId="0">
      <selection activeCell="B2" sqref="B2"/>
    </sheetView>
  </sheetViews>
  <sheetFormatPr defaultRowHeight="15" x14ac:dyDescent="0.25"/>
  <cols>
    <col min="1" max="1" width="13.140625" bestFit="1" customWidth="1"/>
    <col min="2" max="2" width="15.5703125" bestFit="1" customWidth="1"/>
    <col min="3" max="3" width="11.28515625" customWidth="1"/>
    <col min="4" max="4" width="15.5703125" bestFit="1" customWidth="1"/>
    <col min="5" max="5" width="23" customWidth="1"/>
    <col min="6" max="6" width="16.7109375" customWidth="1"/>
    <col min="7" max="7" width="33.85546875" bestFit="1" customWidth="1"/>
    <col min="8" max="8" width="26.140625" bestFit="1" customWidth="1"/>
    <col min="9" max="9" width="15.7109375" bestFit="1" customWidth="1"/>
    <col min="10" max="10" width="11.140625" bestFit="1" customWidth="1"/>
    <col min="11" max="11" width="15.5703125" bestFit="1" customWidth="1"/>
    <col min="12" max="12" width="15" bestFit="1" customWidth="1"/>
    <col min="13" max="13" width="20.28515625" bestFit="1" customWidth="1"/>
    <col min="14" max="14" width="15.5703125" bestFit="1" customWidth="1"/>
  </cols>
  <sheetData>
    <row r="4" spans="6:8" ht="36" x14ac:dyDescent="0.55000000000000004">
      <c r="F4" s="39" t="s">
        <v>40</v>
      </c>
    </row>
    <row r="5" spans="6:8" ht="15.75" thickBot="1" x14ac:dyDescent="0.3"/>
    <row r="6" spans="6:8" x14ac:dyDescent="0.25">
      <c r="G6" s="17" t="s">
        <v>27</v>
      </c>
      <c r="H6" s="40">
        <f>SUM(SalesTable[Revenue])</f>
        <v>162390</v>
      </c>
    </row>
    <row r="7" spans="6:8" x14ac:dyDescent="0.25">
      <c r="G7" s="18" t="s">
        <v>28</v>
      </c>
      <c r="H7" s="41">
        <f>ROWS(SalesTable[Revenue])</f>
        <v>200</v>
      </c>
    </row>
    <row r="8" spans="6:8" x14ac:dyDescent="0.25">
      <c r="G8" s="18" t="s">
        <v>39</v>
      </c>
      <c r="H8" s="41">
        <f>SUM(SalesTable[Quantity])</f>
        <v>600</v>
      </c>
    </row>
    <row r="9" spans="6:8" x14ac:dyDescent="0.25">
      <c r="G9" s="18" t="s">
        <v>29</v>
      </c>
      <c r="H9" s="42">
        <f>AVERAGE(SalesTable[Revenue])</f>
        <v>811.95</v>
      </c>
    </row>
    <row r="10" spans="6:8" x14ac:dyDescent="0.25">
      <c r="G10" s="18" t="s">
        <v>30</v>
      </c>
      <c r="H10" s="43" t="s">
        <v>10</v>
      </c>
    </row>
    <row r="11" spans="6:8" ht="15.75" thickBot="1" x14ac:dyDescent="0.3">
      <c r="G11" s="19" t="s">
        <v>31</v>
      </c>
      <c r="H11" s="44" t="s">
        <v>15</v>
      </c>
    </row>
    <row r="32" spans="6:7" x14ac:dyDescent="0.25">
      <c r="F32" s="5"/>
      <c r="G32" s="6"/>
    </row>
    <row r="33" spans="6:7" x14ac:dyDescent="0.25">
      <c r="F33" s="5"/>
      <c r="G33" s="6"/>
    </row>
    <row r="34" spans="6:7" x14ac:dyDescent="0.25">
      <c r="F34" s="5"/>
      <c r="G34" s="6"/>
    </row>
    <row r="35" spans="6:7" x14ac:dyDescent="0.25">
      <c r="F35" s="5"/>
      <c r="G35" s="6"/>
    </row>
  </sheetData>
  <pageMargins left="0.25" right="0.25" top="0.75" bottom="0.75" header="0.3" footer="0.3"/>
  <pageSetup paperSize="9" scale="55" orientation="landscape"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3"/>
  <sheetViews>
    <sheetView workbookViewId="0">
      <selection activeCell="J23" sqref="J23"/>
    </sheetView>
  </sheetViews>
  <sheetFormatPr defaultRowHeight="15" x14ac:dyDescent="0.25"/>
  <cols>
    <col min="2" max="2" width="11.28515625" customWidth="1"/>
    <col min="3" max="3" width="15.5703125" bestFit="1" customWidth="1"/>
  </cols>
  <sheetData>
    <row r="1" spans="2:3" ht="15.75" thickBot="1" x14ac:dyDescent="0.3"/>
    <row r="2" spans="2:3" ht="15.75" thickBot="1" x14ac:dyDescent="0.3">
      <c r="B2" s="24" t="s">
        <v>37</v>
      </c>
      <c r="C2" s="25" t="s">
        <v>26</v>
      </c>
    </row>
    <row r="3" spans="2:3" ht="15.75" thickBot="1" x14ac:dyDescent="0.3">
      <c r="B3" s="29" t="s">
        <v>14</v>
      </c>
      <c r="C3" s="21">
        <v>27540</v>
      </c>
    </row>
    <row r="4" spans="2:3" ht="15.75" thickBot="1" x14ac:dyDescent="0.3">
      <c r="B4" s="29" t="s">
        <v>25</v>
      </c>
      <c r="C4" s="23">
        <v>27540</v>
      </c>
    </row>
    <row r="6" spans="2:3" ht="15.75" thickBot="1" x14ac:dyDescent="0.3"/>
    <row r="7" spans="2:3" ht="15.75" thickBot="1" x14ac:dyDescent="0.3"/>
    <row r="8" spans="2:3" ht="15.75" thickBot="1" x14ac:dyDescent="0.3"/>
    <row r="9" spans="2:3" ht="15.75" thickBot="1" x14ac:dyDescent="0.3">
      <c r="B9" s="24" t="s">
        <v>36</v>
      </c>
      <c r="C9" s="25" t="s">
        <v>26</v>
      </c>
    </row>
    <row r="10" spans="2:3" x14ac:dyDescent="0.25">
      <c r="B10" s="30" t="s">
        <v>32</v>
      </c>
      <c r="C10" s="31">
        <v>74010</v>
      </c>
    </row>
    <row r="11" spans="2:3" x14ac:dyDescent="0.25">
      <c r="B11" s="32" t="s">
        <v>33</v>
      </c>
      <c r="C11" s="33">
        <v>80650</v>
      </c>
    </row>
    <row r="12" spans="2:3" ht="15.75" thickBot="1" x14ac:dyDescent="0.3">
      <c r="B12" s="34" t="s">
        <v>34</v>
      </c>
      <c r="C12" s="33">
        <v>7730</v>
      </c>
    </row>
    <row r="13" spans="2:3" ht="15.75" thickBot="1" x14ac:dyDescent="0.3">
      <c r="B13" s="29" t="s">
        <v>25</v>
      </c>
      <c r="C13" s="23">
        <v>162390</v>
      </c>
    </row>
    <row r="14" spans="2:3" ht="15.75" thickBot="1" x14ac:dyDescent="0.3"/>
    <row r="15" spans="2:3" ht="15.75" thickBot="1" x14ac:dyDescent="0.3">
      <c r="B15" s="24" t="s">
        <v>35</v>
      </c>
      <c r="C15" s="25" t="s">
        <v>26</v>
      </c>
    </row>
    <row r="16" spans="2:3" x14ac:dyDescent="0.25">
      <c r="B16" s="26" t="s">
        <v>19</v>
      </c>
      <c r="C16" s="21">
        <v>27470</v>
      </c>
    </row>
    <row r="17" spans="2:3" x14ac:dyDescent="0.25">
      <c r="B17" s="27" t="s">
        <v>21</v>
      </c>
      <c r="C17" s="22">
        <v>26500</v>
      </c>
    </row>
    <row r="18" spans="2:3" x14ac:dyDescent="0.25">
      <c r="B18" s="27" t="s">
        <v>23</v>
      </c>
      <c r="C18" s="22">
        <v>20250</v>
      </c>
    </row>
    <row r="19" spans="2:3" x14ac:dyDescent="0.25">
      <c r="B19" s="27" t="s">
        <v>24</v>
      </c>
      <c r="C19" s="22">
        <v>19030</v>
      </c>
    </row>
    <row r="20" spans="2:3" ht="15.75" thickBot="1" x14ac:dyDescent="0.3">
      <c r="B20" s="28" t="s">
        <v>17</v>
      </c>
      <c r="C20" s="22">
        <v>18950</v>
      </c>
    </row>
    <row r="21" spans="2:3" x14ac:dyDescent="0.25">
      <c r="B21" s="20" t="s">
        <v>20</v>
      </c>
      <c r="C21" s="22">
        <v>18390</v>
      </c>
    </row>
    <row r="22" spans="2:3" x14ac:dyDescent="0.25">
      <c r="B22" s="20" t="s">
        <v>22</v>
      </c>
      <c r="C22" s="22">
        <v>18270</v>
      </c>
    </row>
    <row r="23" spans="2:3" ht="15.75" thickBot="1" x14ac:dyDescent="0.3">
      <c r="B23" s="20" t="s">
        <v>18</v>
      </c>
      <c r="C23" s="22">
        <v>13530</v>
      </c>
    </row>
    <row r="24" spans="2:3" ht="15.75" thickBot="1" x14ac:dyDescent="0.3">
      <c r="B24" s="29" t="s">
        <v>25</v>
      </c>
      <c r="C24" s="23">
        <v>162390</v>
      </c>
    </row>
    <row r="25" spans="2:3" ht="15.75" thickBot="1" x14ac:dyDescent="0.3"/>
    <row r="26" spans="2:3" ht="15.75" thickBot="1" x14ac:dyDescent="0.3">
      <c r="B26" s="24" t="s">
        <v>38</v>
      </c>
      <c r="C26" s="25" t="s">
        <v>26</v>
      </c>
    </row>
    <row r="27" spans="2:3" x14ac:dyDescent="0.25">
      <c r="B27" s="26" t="s">
        <v>10</v>
      </c>
      <c r="C27" s="21">
        <v>37250</v>
      </c>
    </row>
    <row r="28" spans="2:3" x14ac:dyDescent="0.25">
      <c r="B28" s="27" t="s">
        <v>9</v>
      </c>
      <c r="C28" s="22">
        <v>30010</v>
      </c>
    </row>
    <row r="29" spans="2:3" x14ac:dyDescent="0.25">
      <c r="B29" s="27" t="s">
        <v>7</v>
      </c>
      <c r="C29" s="22">
        <v>25380</v>
      </c>
    </row>
    <row r="30" spans="2:3" x14ac:dyDescent="0.25">
      <c r="B30" s="27" t="s">
        <v>8</v>
      </c>
      <c r="C30" s="22">
        <v>24340</v>
      </c>
    </row>
    <row r="31" spans="2:3" x14ac:dyDescent="0.25">
      <c r="B31" s="27" t="s">
        <v>12</v>
      </c>
      <c r="C31" s="22">
        <v>23800</v>
      </c>
    </row>
    <row r="32" spans="2:3" ht="15.75" thickBot="1" x14ac:dyDescent="0.3">
      <c r="B32" s="28" t="s">
        <v>11</v>
      </c>
      <c r="C32" s="22">
        <v>21610</v>
      </c>
    </row>
    <row r="33" spans="2:3" ht="15.75" thickBot="1" x14ac:dyDescent="0.3">
      <c r="B33" s="29" t="s">
        <v>25</v>
      </c>
      <c r="C33" s="23">
        <v>162390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Monthly_Sales</vt:lpstr>
      <vt:lpstr>Insights</vt:lpstr>
      <vt:lpstr>Dashboard</vt:lpstr>
      <vt:lpstr>Pivot_backend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Shikz</dc:creator>
  <cp:lastModifiedBy>Shikz</cp:lastModifiedBy>
  <cp:lastPrinted>2025-11-25T21:56:44Z</cp:lastPrinted>
  <dcterms:created xsi:type="dcterms:W3CDTF">2025-11-25T19:06:34Z</dcterms:created>
  <dcterms:modified xsi:type="dcterms:W3CDTF">2025-11-27T17:57:39Z</dcterms:modified>
</cp:coreProperties>
</file>